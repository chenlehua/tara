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封面 Front Cover" sheetId="1" state="visible" r:id="rId1"/>
    <sheet xmlns:r="http://schemas.openxmlformats.org/officeDocument/2006/relationships" name="1-相关定义" sheetId="2" state="visible" r:id="rId2"/>
    <sheet xmlns:r="http://schemas.openxmlformats.org/officeDocument/2006/relationships" name="2-资产列表" sheetId="3" state="visible" r:id="rId3"/>
    <sheet xmlns:r="http://schemas.openxmlformats.org/officeDocument/2006/relationships" name="3-数据流图" sheetId="4" state="visible" r:id="rId4"/>
    <sheet xmlns:r="http://schemas.openxmlformats.org/officeDocument/2006/relationships" name="4-攻击树图" sheetId="5" state="visible" r:id="rId5"/>
    <sheet xmlns:r="http://schemas.openxmlformats.org/officeDocument/2006/relationships" name="5-TARA分析结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24"/>
    </font>
    <font>
      <sz val="16"/>
    </font>
    <font>
      <b val="1"/>
      <color rgb="002F5496"/>
      <sz val="14"/>
    </font>
    <font>
      <b val="1"/>
      <sz val="12"/>
    </font>
    <font>
      <name val="Courier New"/>
      <sz val="9"/>
    </font>
    <font>
      <b val="1"/>
      <sz val="10"/>
    </font>
    <font>
      <b val="1"/>
      <color rgb="00FFFFFF"/>
      <sz val="10"/>
    </font>
    <font>
      <sz val="9"/>
    </font>
    <font>
      <b val="1"/>
      <sz val="11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8EA9DB"/>
        <bgColor rgb="008EA9DB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2" borderId="1" pivotButton="0" quotePrefix="0" xfId="0"/>
    <xf numFmtId="0" fontId="1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6" max="6"/>
  </cols>
  <sheetData>
    <row r="4">
      <c r="F4" t="inlineStr">
        <is>
          <t>数据等级：秘密
Data level: Confidential</t>
        </is>
      </c>
    </row>
    <row r="5">
      <c r="F5" t="inlineStr">
        <is>
          <t>编号：IPC0011_JF_A30-44003
Number: IPC0011_JF_A30-44003</t>
        </is>
      </c>
    </row>
    <row r="6">
      <c r="F6" t="inlineStr">
        <is>
          <t>版本：1.0
Version：1.0</t>
        </is>
      </c>
    </row>
    <row r="7">
      <c r="A7" s="1" t="inlineStr">
        <is>
          <t>威胁分析和风险评估报告
Threat Analysis And Risk Assessment Report</t>
        </is>
      </c>
    </row>
    <row r="8">
      <c r="E8" s="2" t="inlineStr">
        <is>
          <t>——DiLink150中控主机平台</t>
        </is>
      </c>
    </row>
    <row r="9">
      <c r="A9" t="inlineStr">
        <is>
          <t>编制/日期：
Author/Date</t>
        </is>
      </c>
      <c r="C9" t="inlineStr">
        <is>
          <t>2025.12</t>
        </is>
      </c>
    </row>
    <row r="10">
      <c r="A10" t="inlineStr">
        <is>
          <t>审核/日期：
Review/Date</t>
        </is>
      </c>
      <c r="C10" t="inlineStr"/>
    </row>
    <row r="11">
      <c r="A11" t="inlineStr">
        <is>
          <t>会签/日期：
Signature/Date</t>
        </is>
      </c>
      <c r="C11" t="inlineStr"/>
    </row>
    <row r="12">
      <c r="A12" t="inlineStr">
        <is>
          <t>批准/日期：
Approve/Date</t>
        </is>
      </c>
      <c r="C12" t="inlineStr"/>
    </row>
  </sheetData>
  <mergeCells count="1"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MY25 EV平台中控主机 TARA分析报告 - 相关定义</t>
        </is>
      </c>
    </row>
    <row r="3">
      <c r="A3" s="4" t="inlineStr">
        <is>
          <t>1. 功能描述 Functional Description</t>
        </is>
      </c>
    </row>
    <row r="4">
      <c r="A4" s="5" t="inlineStr">
        <is>
          <t>车载信息娱乐系统(In-Vehicle Infotainment, IVI)是一种集成多媒体娱乐、导航、车辆信息显示、通信和车辆控制功能于一体的车载电子系统。</t>
        </is>
      </c>
    </row>
    <row r="5"/>
    <row r="6"/>
    <row r="7"/>
    <row r="8"/>
    <row r="9"/>
    <row r="10"/>
    <row r="11"/>
    <row r="12">
      <c r="A12" s="4" t="inlineStr">
        <is>
          <t>2. 项目边界 Item Boundary</t>
        </is>
      </c>
    </row>
    <row r="13">
      <c r="A13" s="6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车载信息娱乐系统 项目边界示意图                             │
│  ┌─────────────────────────────────────────────────────────────────────────────┐    │
│  │                         IVI 系统边界 (Scope Boundary)                        │    │
│  │  ┌──────────────────────────────────────────────────────────────────────┐   │    │
│  │  │                    硬件层 Hardware Layer                              │   │    │
│  │  │  ┌─────────┐ ┌─────────┐ ┌─────────┐ ┌─────────┐ ┌─────────┐        │   │    │
│  │  │  │   SOC   │ │   MCU   │ │ DDR RAM │ │ UFS ROM │ │  eMMC   │        │   │    │
│  │  │  └─────────┘ └─────────┘ └─────────┘ └─────────┘ └─────────┘        │   │    │
│  │  │  ┌─────────┐ ┌─────────┐ ┌─────────┐ ┌─────────┐                    │   │    │
│  │  │  │ BT模块  │ │ WIFI模块│ │以太网接口│ │ CAN接口 │                    │   │    │
│  │  │  └─────────┘ └─────────┘ └─────────┘ └─────────┘                    │   │    │
│  │  └──────────────────────────────────────────────────────────────────────┘   │    │
│  │                                 ↕ 内部通信                                   │    │
│  │  ┌──────────────────────────────────────────────────────────────────────┐   │    │
│  │  │                    软件层 Software Layer                              │   │    │
│  │  │  系统固件 │ 操作系统 │ 中间件 │ 应用软件 │ 安全服务 │ 配置数据        │   │    │
│  │  └──────────────────────────────────────────────────────────────────────┘   │    │
│  └─────────────────────────────────────────────────────────────────────────────┘    │
│                              ↕ 外部接口 External Interface                          │
│  ┌────────────────────────────┐  ┌────────────────────────────────────────────┐    │
│  │   外部接口 (项目边界)       │  │        外部系统 (项目范围外)                │    │
│  │  • TBox接口 (以太网/CAN)   │  │  • 云服务平台 (OTA服务器、TSP)             │    │
│  │  • OBD接口 (诊断)          │  │  • 用户手机 (蓝牙/WiFi连接)                │    │
│  │  • USB接口                 │  │  • 诊断设备                                │    │
│  │  • CAN总线接口             │  │  • 车身域控制器/网关                        │    │
│  └────────────────────────────┘  └────────────────────────────────────────────┘    │
└─────────────────────────────────────────────────────────────────────────────────────┘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>
      <c r="A32" s="4" t="inlineStr">
        <is>
          <t>3. 系统架构图 System Architecture</t>
        </is>
      </c>
    </row>
    <row r="33">
      <c r="A33" s="6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IVI 系统架构图 System Architecture                         │
│                                                                                      │
│  ┌────────────────────────────────────────────────────────────────────────────────┐ │
│  │                           应用层 Application Layer                              │ │
│  │  ┌──────────┐ ┌──────────┐ ┌──────────┐ ┌──────────┐ ┌──────────┐ ┌──────────┐│ │
│  │  │ 导航APP  │ │ 多媒体APP │ │ 蓝牙APP  │ │ 车控APP  │ │ 设置APP  │ │ OTA APP  ││ │
│  │  └──────────┘ └──────────┘ └──────────┘ └──────────┘ └──────────┘ └──────────┘│ │
│  └────────────────────────────────────────────────────────────────────────────────┘ │
│                                        ↓                                            │
│  ┌────────────────────────────────────────────────────────────────────────────────┐ │
│  │                           中间件层 Middleware Layer                             │ │
│  │  ┌──────────┐ ┌──────────┐ ┌──────────┐ ┌──────────┐ ┌──────────┐ ┌──────────┐│ │
│  │  │ 音频管理 │ │ 显示管理 │ │ 网络管理 │ │ 安全服务 │ │ 诊断服务 │ │ OTA服务  ││ │
│  │  └──────────┘ └──────────┘ └──────────┘ └──────────┘ └──────────┘ └──────────┘│ │
│  └────────────────────────────────────────────────────────────────────────────────┘ │
│                                        ↓                                            │
│  ┌────────────────────────────────────────────────────────────────────────────────┐ │
│  │                           操作系统层 OS Layer                                   │ │
│  │                    Android Automotive OS / QNX / Linux                          │ │
│  └────────────────────────────────────────────────────────────────────────────────┘ │
│                                        ↓                                            │
│  ┌────────────────────────────────────────────────────────────────────────────────┐ │
│  │                           硬件抽象层 HAL Layer                                  │ │
│  │       Audio HAL │ Display HAL │ Camera HAL │ Vehicle HAL │ Sensors HAL         │ │
│  └────────────────────────────────────────────────────────────────────────────────┘ │
│                                        ↓                                            │
│  ┌────────────────────────────────────────────────────────────────────────────────┐ │
│  │                           硬件层 Hardware Layer                                 │ │
│  │  SOC │ MCU │ DDR │ UFS │ BT │ WIFI │ Ethernet │ CAN │ USB │ Display │ Audio    │ │
│  └────────────────────────────────────────────────────────────────────────────────┘ │
└─────────────────────────────────────────────────────────────────────────────────────┘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>
      <c r="A52" s="4" t="inlineStr">
        <is>
          <t>4. 软件架构图 Software Architecture</t>
        </is>
      </c>
    </row>
    <row r="53">
      <c r="A53" s="6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IVI 软件架构图 Software Architecture                       │
│                                                                                      │
│  ┌────────────────────────────────────────────────────────────────────────────────┐ │
│  │  安全域 Secure World (ARM TrustZone)  │  普通域 Normal World                   │ │
│  │  ┌────────────────────────────────┐   │  ┌────────────────────────────────┐   │ │
│  │  │      TEE OS (OP-TEE)           │   │  │      Rich OS (Android/Linux)   │   │ │
│  │  │  ┌──────────────────────────┐  │   │  │  ┌──────────────────────────┐  │   │ │
│  │  │  │  Trusted Applications    │  │   │  │  │   User Applications      │  │   │ │
│  │  │  │  • Secure Boot           │  │   │  │  │  • 导航 Navigation       │  │   │ │
│  │  │  │  • Key Management        │  │   │  │  │  • 多媒体 Multimedia     │  │   │ │
│  │  │  │  • Crypto Services       │  │   │  │  │  • 蓝牙 Bluetooth        │  │   │ │
│  │  │  │  • Secure Storage        │  │   │  │  │  • 车控 Vehicle Control  │  │   │ │
│  │  │  │  • DRM Services          │  │   │  │  │  • OTA Update            │  │   │ │
│  │  │  └──────────────────────────┘  │   │  │  └──────────────────────────┘  │   │ │
│  │  │              ↑                 │   │  │              ↑                 │   │ │
│  │  │  ┌──────────────────────────┐  │   │  │  ┌──────────────────────────┐  │   │ │
│  │  │  │  TEE Internal API        │  │   │  │  │  System Services         │  │   │ │
│  │  │  │  (GlobalPlatform)        │  │   │  │  │  • Communication Mgr     │  │   │ │
│  │  │  └──────────────────────────┘  │   │  │  │  • Diagnostic Service    │  │   │ │
│  │  └────────────────────────────────┘   │  │  │  • Security Service      │  │   │ │
│  │              ↑                        │  │  └──────────────────────────┘  │   │ │
│  │  ┌────────────────────────────────┐   │  │              ↑                 │   │ │
│  │  │       HSM (Hardware)           │   │  │  ┌──────────────────────────┐  │   │ │
│  │  │  • Secure Key Storage          │   │  │  │  Drivers Layer           │  │   │ │
│  │  │  • Crypto Acceleration         │   │  │  │  CAN│ETH│USB│BT│WIFI│...│  │   │ │
│  │  └────────────────────────────────┘   │  │  └──────────────────────────┘  │   │ │
│  └───────────────────────────────────────┴──┴────────────────────────────────────┘ │
└─────────────────────────────────────────────────────────────────────────────────────┘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>
      <c r="A72" s="4" t="inlineStr">
        <is>
          <t>5. 相关项假设 Item Assumptions</t>
        </is>
      </c>
    </row>
    <row r="73">
      <c r="A73" s="7" t="inlineStr">
        <is>
          <t>假设编号
Assumption ID</t>
        </is>
      </c>
      <c r="B73" s="7" t="inlineStr">
        <is>
          <t>假设描述 Assumption Description</t>
        </is>
      </c>
    </row>
    <row r="74">
      <c r="A74" t="inlineStr">
        <is>
          <t>ASM-01</t>
        </is>
      </c>
      <c r="B74" t="inlineStr">
        <is>
          <t>IVI系统运行在独立的电子控制单元上，与车辆安全关键系统(如制动、转向)物理隔离</t>
        </is>
      </c>
    </row>
    <row r="75">
      <c r="A75" t="inlineStr">
        <is>
          <t>ASM-02</t>
        </is>
      </c>
      <c r="B75" t="inlineStr">
        <is>
          <t>IVI系统与车身域控制器通过CAN网关进行通信，网关具备消息过滤和访问控制功能</t>
        </is>
      </c>
    </row>
    <row r="76">
      <c r="A76" t="inlineStr">
        <is>
          <t>ASM-03</t>
        </is>
      </c>
      <c r="B76" t="inlineStr">
        <is>
          <t>TBox与IVI之间的通信链路为车内以太网(100BASE-T1)或CAN总线</t>
        </is>
      </c>
    </row>
    <row r="77">
      <c r="A77" t="inlineStr">
        <is>
          <t>ASM-04</t>
        </is>
      </c>
      <c r="B77" t="inlineStr">
        <is>
          <t>普通用户不具备拆解IVI硬件的专业工具和能力，物理攻击需要专业设备</t>
        </is>
      </c>
    </row>
    <row r="78">
      <c r="A78" t="inlineStr">
        <is>
          <t>ASM-05</t>
        </is>
      </c>
      <c r="B78" t="inlineStr">
        <is>
          <t>IVI系统具备安全启动(Secure Boot)功能，启动链完整性受硬件信任根保护</t>
        </is>
      </c>
    </row>
    <row r="79">
      <c r="A79" t="inlineStr">
        <is>
          <t>ASM-06</t>
        </is>
      </c>
      <c r="B79" t="inlineStr">
        <is>
          <t>系统固件和应用软件由OEM统一管理和分发，具备代码签名机制</t>
        </is>
      </c>
    </row>
    <row r="80">
      <c r="A80" t="inlineStr">
        <is>
          <t>ASM-07</t>
        </is>
      </c>
      <c r="B80" t="inlineStr">
        <is>
          <t>车辆使用期间，云服务器(TSP)持续在线提供OTA、远程诊断等服务</t>
        </is>
      </c>
    </row>
    <row r="81">
      <c r="A81" t="inlineStr">
        <is>
          <t>ASM-08</t>
        </is>
      </c>
      <c r="B81" t="inlineStr">
        <is>
          <t>用户移动设备的安全性不在本分析范围内，假设手机可能被恶意软件感染</t>
        </is>
      </c>
    </row>
    <row r="82">
      <c r="A82" t="inlineStr">
        <is>
          <t>ASM-09</t>
        </is>
      </c>
      <c r="B82" t="inlineStr">
        <is>
          <t>车辆网络(CAN/Ethernet)与外部网络之间存在网关隔离</t>
        </is>
      </c>
    </row>
    <row r="83">
      <c r="A83" t="inlineStr">
        <is>
          <t>ASM-10</t>
        </is>
      </c>
      <c r="B83" t="inlineStr">
        <is>
          <t>诊断接口(OBD)在车辆正常使用时可被物理访问</t>
        </is>
      </c>
    </row>
    <row r="85">
      <c r="A85" s="4" t="inlineStr">
        <is>
          <t>6. 术语表 Terminology</t>
        </is>
      </c>
    </row>
    <row r="86">
      <c r="A86" s="7" t="inlineStr">
        <is>
          <t>缩写
Abbreviation</t>
        </is>
      </c>
      <c r="B86" s="7" t="inlineStr">
        <is>
          <t>英文全称 English Full Name</t>
        </is>
      </c>
      <c r="F86" s="7" t="inlineStr">
        <is>
          <t>中文全称 Chinese Name</t>
        </is>
      </c>
    </row>
    <row r="87">
      <c r="A87" t="inlineStr">
        <is>
          <t>IVI</t>
        </is>
      </c>
      <c r="B87" t="inlineStr">
        <is>
          <t>In-Vehicle Infotainment</t>
        </is>
      </c>
      <c r="F87" t="inlineStr">
        <is>
          <t>车载信息娱乐系统</t>
        </is>
      </c>
    </row>
    <row r="88">
      <c r="A88" t="inlineStr">
        <is>
          <t>TARA</t>
        </is>
      </c>
      <c r="B88" t="inlineStr">
        <is>
          <t>Threat Analysis and Risk Assessment</t>
        </is>
      </c>
      <c r="F88" t="inlineStr">
        <is>
          <t>威胁分析与风险评估</t>
        </is>
      </c>
    </row>
    <row r="89">
      <c r="A89" t="inlineStr">
        <is>
          <t>SOC</t>
        </is>
      </c>
      <c r="B89" t="inlineStr">
        <is>
          <t>System on Chip</t>
        </is>
      </c>
      <c r="F89" t="inlineStr">
        <is>
          <t>片上系统</t>
        </is>
      </c>
    </row>
    <row r="90">
      <c r="A90" t="inlineStr">
        <is>
          <t>MCU</t>
        </is>
      </c>
      <c r="B90" t="inlineStr">
        <is>
          <t>Microcontroller Unit</t>
        </is>
      </c>
      <c r="F90" t="inlineStr">
        <is>
          <t>微控制器单元</t>
        </is>
      </c>
    </row>
    <row r="91">
      <c r="A91" t="inlineStr">
        <is>
          <t>DDR RAM</t>
        </is>
      </c>
      <c r="B91" t="inlineStr">
        <is>
          <t>Double Data Rate Random Access Memory</t>
        </is>
      </c>
      <c r="F91" t="inlineStr">
        <is>
          <t>双倍数据率随机存取存储器</t>
        </is>
      </c>
    </row>
    <row r="92">
      <c r="A92" t="inlineStr">
        <is>
          <t>UFS ROM</t>
        </is>
      </c>
      <c r="B92" t="inlineStr">
        <is>
          <t>Universal Flash Storage</t>
        </is>
      </c>
      <c r="F92" t="inlineStr">
        <is>
          <t>通用闪存存储</t>
        </is>
      </c>
    </row>
    <row r="93">
      <c r="A93" t="inlineStr">
        <is>
          <t>BT</t>
        </is>
      </c>
      <c r="B93" t="inlineStr">
        <is>
          <t>Bluetooth</t>
        </is>
      </c>
      <c r="F93" t="inlineStr">
        <is>
          <t>蓝牙</t>
        </is>
      </c>
    </row>
    <row r="94">
      <c r="A94" t="inlineStr">
        <is>
          <t>WIFI</t>
        </is>
      </c>
      <c r="B94" t="inlineStr">
        <is>
          <t>Wireless Fidelity</t>
        </is>
      </c>
      <c r="F94" t="inlineStr">
        <is>
          <t>无线保真/无线网络</t>
        </is>
      </c>
    </row>
    <row r="95">
      <c r="A95" t="inlineStr">
        <is>
          <t>TBox</t>
        </is>
      </c>
      <c r="B95" t="inlineStr">
        <is>
          <t>Telematics Box</t>
        </is>
      </c>
      <c r="F95" t="inlineStr">
        <is>
          <t>车载终端/远程信息处理器</t>
        </is>
      </c>
    </row>
    <row r="96">
      <c r="A96" t="inlineStr">
        <is>
          <t>OBD</t>
        </is>
      </c>
      <c r="B96" t="inlineStr">
        <is>
          <t>On-Board Diagnostics</t>
        </is>
      </c>
      <c r="F96" t="inlineStr">
        <is>
          <t>车载诊断系统</t>
        </is>
      </c>
    </row>
    <row r="97">
      <c r="A97" t="inlineStr">
        <is>
          <t>CAN</t>
        </is>
      </c>
      <c r="B97" t="inlineStr">
        <is>
          <t>Controller Area Network</t>
        </is>
      </c>
      <c r="F97" t="inlineStr">
        <is>
          <t>控制器局域网</t>
        </is>
      </c>
    </row>
    <row r="98">
      <c r="A98" t="inlineStr">
        <is>
          <t>OTA</t>
        </is>
      </c>
      <c r="B98" t="inlineStr">
        <is>
          <t>Over-The-Air</t>
        </is>
      </c>
      <c r="F98" t="inlineStr">
        <is>
          <t>空中下载/远程升级</t>
        </is>
      </c>
    </row>
    <row r="99">
      <c r="A99" t="inlineStr">
        <is>
          <t>TEE</t>
        </is>
      </c>
      <c r="B99" t="inlineStr">
        <is>
          <t>Trusted Execution Environment</t>
        </is>
      </c>
      <c r="F99" t="inlineStr">
        <is>
          <t>可信执行环境</t>
        </is>
      </c>
    </row>
    <row r="100">
      <c r="A100" t="inlineStr">
        <is>
          <t>HSM</t>
        </is>
      </c>
      <c r="B100" t="inlineStr">
        <is>
          <t>Hardware Security Module</t>
        </is>
      </c>
      <c r="F100" t="inlineStr">
        <is>
          <t>硬件安全模块</t>
        </is>
      </c>
    </row>
    <row r="101">
      <c r="A101" t="inlineStr">
        <is>
          <t>PKI</t>
        </is>
      </c>
      <c r="B101" t="inlineStr">
        <is>
          <t>Public Key Infrastructure</t>
        </is>
      </c>
      <c r="F101" t="inlineStr">
        <is>
          <t>公钥基础设施</t>
        </is>
      </c>
    </row>
    <row r="102">
      <c r="A102" t="inlineStr">
        <is>
          <t>STRIDE</t>
        </is>
      </c>
      <c r="B102" t="inlineStr">
        <is>
          <t>Spoofing,Tampering,Repudiation,Information Disclosure,DoS,EoP</t>
        </is>
      </c>
      <c r="F102" t="inlineStr">
        <is>
          <t>欺骗、篡改、抵赖、信息泄露、拒绝服务、权限提升</t>
        </is>
      </c>
    </row>
    <row r="103">
      <c r="A103" t="inlineStr">
        <is>
          <t>WP29</t>
        </is>
      </c>
      <c r="B103" t="inlineStr">
        <is>
          <t>World Forum for Harmonization of Vehicle Regulations</t>
        </is>
      </c>
      <c r="F103" t="inlineStr">
        <is>
          <t>世界车辆法规协调论坛</t>
        </is>
      </c>
    </row>
    <row r="104">
      <c r="A104" t="inlineStr">
        <is>
          <t>SecOC</t>
        </is>
      </c>
      <c r="B104" t="inlineStr">
        <is>
          <t>Secure Onboard Communication</t>
        </is>
      </c>
      <c r="F104" t="inlineStr">
        <is>
          <t>安全车载通信</t>
        </is>
      </c>
    </row>
    <row r="105">
      <c r="A105" t="inlineStr">
        <is>
          <t>UDS</t>
        </is>
      </c>
      <c r="B105" t="inlineStr">
        <is>
          <t>Unified Diagnostic Services</t>
        </is>
      </c>
      <c r="F105" t="inlineStr">
        <is>
          <t>统一诊断服务</t>
        </is>
      </c>
    </row>
    <row r="106">
      <c r="A106" t="inlineStr">
        <is>
          <t>DoIP</t>
        </is>
      </c>
      <c r="B106" t="inlineStr">
        <is>
          <t>Diagnostics over IP</t>
        </is>
      </c>
      <c r="F106" t="inlineStr">
        <is>
          <t>基于IP的诊断</t>
        </is>
      </c>
    </row>
  </sheetData>
  <mergeCells count="43">
    <mergeCell ref="B75:F75"/>
    <mergeCell ref="B81:F81"/>
    <mergeCell ref="B92:E92"/>
    <mergeCell ref="B104:E104"/>
    <mergeCell ref="A12:F12"/>
    <mergeCell ref="B95:E95"/>
    <mergeCell ref="A3:F3"/>
    <mergeCell ref="B89:E89"/>
    <mergeCell ref="A13:F31"/>
    <mergeCell ref="A33:F51"/>
    <mergeCell ref="B94:E94"/>
    <mergeCell ref="B77:F77"/>
    <mergeCell ref="A85:F85"/>
    <mergeCell ref="B106:E106"/>
    <mergeCell ref="B91:E91"/>
    <mergeCell ref="A4:F11"/>
    <mergeCell ref="B97:E97"/>
    <mergeCell ref="A32:F32"/>
    <mergeCell ref="B100:E100"/>
    <mergeCell ref="A53:F71"/>
    <mergeCell ref="B90:E90"/>
    <mergeCell ref="A72:F72"/>
    <mergeCell ref="B93:E93"/>
    <mergeCell ref="B82:F82"/>
    <mergeCell ref="A52:F52"/>
    <mergeCell ref="B73:F73"/>
    <mergeCell ref="B102:E102"/>
    <mergeCell ref="B105:E105"/>
    <mergeCell ref="B78:F78"/>
    <mergeCell ref="B96:E96"/>
    <mergeCell ref="B86:E86"/>
    <mergeCell ref="B74:F74"/>
    <mergeCell ref="B98:E98"/>
    <mergeCell ref="B101:E101"/>
    <mergeCell ref="B83:F83"/>
    <mergeCell ref="B88:E88"/>
    <mergeCell ref="A1:F1"/>
    <mergeCell ref="B80:F80"/>
    <mergeCell ref="B76:F76"/>
    <mergeCell ref="B87:E87"/>
    <mergeCell ref="B79:F79"/>
    <mergeCell ref="B103:E103"/>
    <mergeCell ref="B99:E9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40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</cols>
  <sheetData>
    <row r="1">
      <c r="A1" s="3" t="inlineStr">
        <is>
          <t>MY25 EV平台中控主机- 资产列表 Asset List</t>
        </is>
      </c>
    </row>
    <row r="3">
      <c r="A3" s="8" t="inlineStr">
        <is>
          <t>Asset Identification 资产识别</t>
        </is>
      </c>
      <c r="B3" s="9" t="n"/>
      <c r="C3" s="9" t="n"/>
      <c r="D3" s="9" t="n"/>
      <c r="E3" s="8" t="inlineStr">
        <is>
          <t>Cybersecurity Attributes 网络安全属性</t>
        </is>
      </c>
      <c r="F3" s="9" t="n"/>
      <c r="G3" s="9" t="n"/>
      <c r="H3" s="9" t="n"/>
      <c r="I3" s="9" t="n"/>
      <c r="J3" s="9" t="n"/>
    </row>
    <row r="4">
      <c r="A4" s="10" t="inlineStr">
        <is>
          <t>资产ID
Asset ID</t>
        </is>
      </c>
      <c r="B4" s="10" t="inlineStr">
        <is>
          <t>资产名称
Asset Name</t>
        </is>
      </c>
      <c r="C4" s="10" t="inlineStr">
        <is>
          <t>分类
Category</t>
        </is>
      </c>
      <c r="D4" s="10" t="inlineStr">
        <is>
          <t>备注
Remarks</t>
        </is>
      </c>
      <c r="E4" s="10" t="inlineStr">
        <is>
          <t>真实性
Authenticity</t>
        </is>
      </c>
      <c r="F4" s="10" t="inlineStr">
        <is>
          <t>完整性
Integrity</t>
        </is>
      </c>
      <c r="G4" s="10" t="inlineStr">
        <is>
          <t>不可抵赖性
Non-repudiation</t>
        </is>
      </c>
      <c r="H4" s="10" t="inlineStr">
        <is>
          <t>机密性
Confidentiality</t>
        </is>
      </c>
      <c r="I4" s="10" t="inlineStr">
        <is>
          <t>可用性
Availability</t>
        </is>
      </c>
      <c r="J4" s="10" t="inlineStr">
        <is>
          <t>权限
Authorization</t>
        </is>
      </c>
    </row>
    <row r="5">
      <c r="A5" s="11" t="inlineStr">
        <is>
          <t>P001</t>
        </is>
      </c>
      <c r="B5" s="11" t="inlineStr">
        <is>
          <t>SOC</t>
        </is>
      </c>
      <c r="C5" s="11" t="inlineStr">
        <is>
          <t>内部实体</t>
        </is>
      </c>
      <c r="D5" s="11" t="inlineStr">
        <is>
          <t>主处理器芯片</t>
        </is>
      </c>
      <c r="E5" s="12" t="inlineStr"/>
      <c r="F5" s="12" t="inlineStr"/>
      <c r="G5" s="12" t="inlineStr"/>
      <c r="H5" s="12" t="inlineStr"/>
      <c r="I5" s="12" t="inlineStr"/>
      <c r="J5" s="12" t="inlineStr"/>
    </row>
  </sheetData>
  <mergeCells count="3">
    <mergeCell ref="A1:J1"/>
    <mergeCell ref="A3:D3"/>
    <mergeCell ref="E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3" t="inlineStr">
        <is>
          <t>MY25 EV平台中控主机- 数据流图 Data Flow Diagram</t>
        </is>
      </c>
    </row>
    <row r="3">
      <c r="A3" s="6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         IVI系统数据流图 Data Flow Diagram (Level 0)                                │
│                                                                                                               │
│     ┌─────────────┐                                                              ┌─────────────┐             │
│     │ 云服务器    │                                                              │  车身控制器  │             │
│     │ Cloud Server│                                                              │  BCM/Gateway│             │
│     │    (E1)     │                                                              │    (E6)     │             │
│     └──────┬──────┘                                                              └──────┬──────┘             │
│            │                                                                            │                     │
│            │ DF1: OTA升级包                                                             │ DF9: CAN车控指令     │
│            │ DF2: 远程配置                                                              │ DF10: 车辆状态      │
│            ↓                                                                            ↑                     │
│     ┌─────────────┐         DF3: 远程指令          ╔════════════════════════════════════════════════╗        │
│     │   TBox      │ ─────────────────────────────→ ║                                                ║        │
│     │ Telematics  │ ←───────────────────────────── ║           IVI 主系统                           ║        │
│     │    (E2)     │         DF4: 状态上报          ║         IVI Main System                        ║        │
│     └─────────────┘                                ║                                                ║        │
│                                                    ║  ┌────────────────────────────────────────┐    ║        │
│     ┌─────────────┐         DF5: 蓝牙音频/电话     ║  │         P1: SOC 主处理器                │    ║        │
│     │  用户手机   │ ─────────────────────────────→ ║  │         Main Processor                 │    ║        │
│     │ User Phone  │ ←───────────────────────────── ║  │  ┌────────┐  ┌────────┐  ┌────────┐   │    ║        │
│     │    (E3)     │         DF6: 联系人/通知       ║  │  │ D1:配置│  │ D2:密钥│  │D3:用户 │   │    ║ ──────→│
│     └─────────────┘                                ║  │  │  数据  │  │  存储  │  │  数据  │   │    ║        │
│                                                    ║  │  └────────┘  └────────┘  └────────┘   │    ║        │
│     ┌─────────────┐         DF7: 诊断请求          ║  │                    ↕                   │    ║        │
│     │  诊断设备   │ ─────────────────────────────→ ║  │         ┌────────────────────┐        │    ║        │
│     │ Diagnostic  │ ←───────────────────────────── ║  │         │   P2: MCU 安全控制  │        │    ║        │
│     │ Tool (E4)   │         DF8: 诊断响应          ║  │         │   Safety Controller │        │    ║        │
│     └─────────────┘                                ║  │         └────────────────────┘        │    ║        │
│                                                    ║  └────────────────────────────────────────┘    ║        │
│     ┌─────────────┐         DF11: 媒体文件         ║                                                ║        │
│     │  USB设备    │ ─────────────────────────────→ ║                                                ║        │
│     │ USB Device  │                                ╚════════════════════════════════════════════════╝        │
│     │    (E5)     │                                                                                           │
│     └─────────────┘                                                                                           │
│                                                                                                               │
│  图例 Legend:  ═══ 信任边界 Trust Boundary    ───→ 数据流 Data Flow    [ ] 处理 Process    (Dx) 数据存储      │
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2">
    <mergeCell ref="A1:I1"/>
    <mergeCell ref="A3:I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MY25 EV平台中控主机 - 攻击树分析 Attack Tree Analysis</t>
        </is>
      </c>
    </row>
    <row r="3">
      <c r="A3" s="13" t="inlineStr">
        <is>
          <t>攻击树1 Attack Tree 1: 远程入侵IVI系统 Remote Compromise IVI</t>
        </is>
      </c>
    </row>
    <row r="4">
      <c r="A4" s="6" t="inlineStr">
        <is>
          <t xml:space="preserve">                                        ┌─────────────────────────────────┐
                                        │     【攻击目标 Attack Goal】     │
                                        │     远程入侵IVI系统              │
                                        │     Remote Compromise IVI       │
                                        └────────────────┬────────────────┘
                                                         │
                     ┌───────────────────────────────────┼───────────────────────────────────┐
                     │                                   │                                   │
         ┌───────────┴───────────┐           ┌───────────┴───────────┐           ┌───────────┴───────────┐
         │ [OR] 通过TBox入侵     │           │ [OR] 通过WiFi入侵     │           │ [OR] 通过云服务入侵   │
         │ Via TBox (AT1.1)      │           │ Via WiFi (AT1.2)      │           │ Via Cloud (AT1.3)     │
         └───────────┬───────────┘           └───────────┬───────────┘           └───────────┬───────────┘
                     │                                   │                                   │
     ┌───────────────┼───────────────┐       ┌───────────┼───────────┐       ┌───────────────┼───────────────┐
     │               │               │       │           │           │       │               │               │
┌────┴────┐    ┌─────┴─────┐   ┌─────┴─────┐ │     ┌─────┴─────┐     │ ┌─────┴─────┐   ┌─────┴─────┐   ┌─────┴─────┐
│ 利用4G  │    │ 伪造远程  │   │ TBox固件  │ │     │ WiFi协议  │     │ │ 伪造OTA   │   │ 中间人    │   │ 云服务器  │
│ 协议漏洞│    │ 控制指令  │   │ 漏洞利用  │ │     │ 漏洞利用  │     │ │ 升级包    │   │ 攻击MITM  │   │ 被攻陷    │
│(1.1.1)  │    │ (1.1.2)   │   │ (1.1.3)   │ │     │ (1.2.1)   │     │ │ (1.3.1)   │   │ (1.3.2)   │   │ (1.3.3)   │
└─────────┘    └───────────┘   └───────────┘ │     └───────────┘     │ └───────────┘   └───────────┘   └───────────┘
                                             │           │           │
                                       ┌─────┴─────┐┌────┴────┐┌─────┴─────┐
                                       │ 恶意WiFi  ││连接恶意 ││ 无线监听  │
                                       │ AP欺骗   ││ 热点    ││ 数据窃取  │
                                       │ (1.2.2)  ││(1.2.3)  ││ (1.2.4)   │
                                       └──────────┘└─────────┘└───────────┘
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5">
      <c r="A25" s="13" t="inlineStr">
        <is>
          <t>攻击树2 Attack Tree 2: 物理接口攻击IVI系统 Physical Attack on IVI</t>
        </is>
      </c>
    </row>
    <row r="26">
      <c r="A26" s="6" t="inlineStr">
        <is>
          <t xml:space="preserve">                                        ┌─────────────────────────────────┐
                                        │     【攻击目标 Attack Goal】     │
                                        │     物理接口攻击IVI系统          │
                                        │     Physical Attack on IVI      │
                                        └────────────────┬────────────────┘
                                                         │
                     ┌───────────────────────────────────┼───────────────────────────────────┐
                     │                                   │                                   │
         ┌───────────┴───────────┐           ┌───────────┴───────────┐           ┌───────────┴───────────┐
         │ [OR] OBD接口攻击      │           │ [OR] USB接口攻击      │           │ [OR] CAN总线攻击      │
         │ Via OBD (AT2.1)       │           │ Via USB (AT2.2)       │           │ Via CAN (AT2.3)       │
         └───────────┬───────────┘           └───────────┬───────────┘           └───────────┬───────────┘
                     │                                   │                                   │
     ┌───────────────┼───────────────┐       ┌───────────┼───────────┐       ┌───────────────┼───────────────┐
     │               │               │       │           │           │       │               │               │
┌────┴────┐    ┌─────┴─────┐   ┌─────┴─────┐┌────┴────┐┌────┴────┐┌────┴────┐┌────┴────┐   ┌─────┴─────┐   ┌─────┴─────┐
│非授权   │    │ 注入恶意  │   │ 读取敏感  ││恶意U盘  ││固件刷写 ││USB漏洞  ││CAN报文  │   │ CAN DoS   │   │ CAN中间人 │
│诊断访问 │    │ 诊断指令  │   │ 诊断数据  ││感染病毒 ││攻击     ││利用     ││注入伪造 │   │ 攻击      │   │ 攻击      │
│(2.1.1)  │    │ (2.1.2)   │   │ (2.1.3)   ││(2.2.1)  ││(2.2.2)  ││(2.2.3)  ││(2.3.1)  │   │ (2.3.2)   │   │ (2.3.3)   │
└─────────┘    └───────────┘   └───────────┘└─────────┘└─────────┘└─────────┘└─────────┘   └───────────┘   └───────────┘
</t>
        </is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7">
      <c r="A47" s="13" t="inlineStr">
        <is>
          <t>攻击树3 Attack Tree 3: 窃取IVI系统敏感数据 Steal Sensitive Data</t>
        </is>
      </c>
    </row>
    <row r="48">
      <c r="A48" s="6" t="inlineStr">
        <is>
          <t xml:space="preserve">                                        ┌─────────────────────────────────┐
                                        │     【攻击目标 Attack Goal】     │
                                        │     窃取IVI系统敏感数据          │
                                        │     Steal Sensitive Data        │
                                        └────────────────┬────────────────┘
                                                         │
                     ┌───────────────────────────────────┼───────────────────────────────────┐
                     │                                   │                                   │
         ┌───────────┴───────────┐           ┌───────────┴───────────┐           ┌───────────┴───────────┐
         │ [OR] 窃取用户数据     │           │ [OR] 窃取车辆信息     │           │ [OR] 窃取安全凭证     │
         │ User Data (AT3.1)     │           │ Vehicle Info (AT3.2)  │           │ Credentials (AT3.3)   │
         └───────────┬───────────┘           └───────────┬───────────┘           └───────────┬───────────┘
                     │                                   │                                   │
     ┌───────────────┼───────────────┐       ┌───────────┼───────────┐       ┌───────────────┼───────────────┐
     │               │               │       │           │           │       │               │               │
┌────┴────┐    ┌─────┴─────┐   ┌─────┴─────┐┌────┴────┐┌────┴────┐┌────┴────┐┌────┴────┐   ┌─────┴─────┐   ┌─────┴─────┐
│导航轨迹 │    │ 通讯录    │   │ 账户信息  ││VIN信息  ││里程篡改 ││故障码   ││提取证书 │   │ 密钥窃取  │   │ 令牌劫持  │
│位置信息 │    │ 个人信息  │   │ 凭证窃取  ││泄露     ││读取     ││泄露     ││(3.3.1)  │   │ (3.3.2)   │   │ (3.3.3)   │
│(3.1.1)  │    │ (3.1.2)   │   │ (3.1.3)   ││(3.2.1)  ││(3.2.2)  ││(3.2.3)  │└─────────┘   └───────────┘   └───────────┘
└─────────┘    └───────────┘   └───────────┘└─────────┘└─────────┘└─────────┘
</t>
        </is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9">
      <c r="A69" s="13" t="inlineStr">
        <is>
          <t>攻击树4 Attack Tree 4: 恶意控制车辆功能 Malicious Vehicle Control</t>
        </is>
      </c>
    </row>
    <row r="70">
      <c r="A70" s="6" t="inlineStr">
        <is>
          <t xml:space="preserve">                                        ┌─────────────────────────────────┐
                                        │     【攻击目标 Attack Goal】     │
                                        │     恶意控制车辆功能             │
                                        │     Malicious Vehicle Control   │
                                        └────────────────┬────────────────┘
                                                         │
                     ┌───────────────────────────────────┼───────────────────────────────────┐
                     │                                   │                                   │
         ┌───────────┴───────────┐           ┌───────────┴───────────┐           ┌───────────┴───────────┐
         │ [OR] 远程车控攻击     │           │ [OR] 本地车控攻击     │           │ [OR] 供应链攻击       │
         │ Remote Control(AT4.1)│           │ Local Control(AT4.2)  │           │ Supply Chain(AT4.3)   │
         └───────────┬───────────┘           └───────────┬───────────┘           └───────────┬───────────┘
                     │                                   │                                   │
     ┌───────────────┼───────────────┐       ┌───────────┼───────────┐       ┌───────────────┼───────────────┐
     │               │               │       │           │           │       │               │               │
┌────┴────┐    ┌─────┴─────┐   ┌─────┴─────┐┌────┴────┐┌────┴────┐┌────┴────┐┌────┴────┐   ┌─────┴─────┐   ┌─────┴─────┐
│伪造车控 │    │ 重放攻击  │   │ 会话劫持  ││APP提权  ││IVI越权  ││物理篡改 ││恶意固件 │   │ 后门植入  │   │ 供应商   │
│指令     │    │ 历史指令  │   │ 接管会话  ││车控     ││车控指令 ││MCU      ││植入     │   │ (4.3.2)   │   │ 被攻陷   │
│(4.1.1)  │    │ (4.1.2)   │   │ (4.1.3)   ││(4.2.1)  ││(4.2.2)  ││(4.2.3)  ││(4.3.1)  │   └───────────┘   │ (4.3.3)  │
└─────────┘    └───────────┘   └───────────┘└─────────┘└─────────┘└─────────┘└─────────┘                   └───────────┘
</t>
        </is>
      </c>
    </row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</sheetData>
  <mergeCells count="9">
    <mergeCell ref="A47:F47"/>
    <mergeCell ref="A69:F69"/>
    <mergeCell ref="A70:F88"/>
    <mergeCell ref="A1:F1"/>
    <mergeCell ref="A48:F66"/>
    <mergeCell ref="A26:F44"/>
    <mergeCell ref="A3:F3"/>
    <mergeCell ref="A4:F22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3" customWidth="1" min="4" max="4"/>
    <col width="13" customWidth="1" min="5" max="5"/>
    <col width="14.9" customWidth="1" min="6" max="6"/>
    <col width="27" customWidth="1" min="7" max="7"/>
    <col width="12.3" customWidth="1" min="8" max="8"/>
    <col width="53.9" customWidth="1" min="9" max="9"/>
    <col width="82.3" customWidth="1" min="10" max="10"/>
    <col width="10" customWidth="1" min="11" max="11"/>
    <col width="13" customWidth="1" min="12" max="12"/>
    <col width="7.6" customWidth="1" min="13" max="13"/>
    <col width="10" customWidth="1" min="14" max="14"/>
    <col width="7.7" customWidth="1" min="15" max="15"/>
    <col width="10" customWidth="1" min="16" max="16"/>
    <col width="8" customWidth="1" min="17" max="17"/>
    <col width="10" customWidth="1" min="18" max="18"/>
    <col width="7.9" customWidth="1" min="19" max="19"/>
    <col width="8" customWidth="1" min="20" max="20"/>
    <col width="10" customWidth="1" min="21" max="21"/>
    <col width="14" customWidth="1" min="22" max="22"/>
    <col width="18" customWidth="1" min="23" max="23"/>
    <col width="6" customWidth="1" min="24" max="24"/>
    <col width="14" customWidth="1" min="25" max="25"/>
    <col width="28" customWidth="1" min="26" max="26"/>
    <col width="6" customWidth="1" min="27" max="27"/>
    <col width="14" customWidth="1" min="28" max="28"/>
    <col width="12" customWidth="1" min="29" max="29"/>
    <col width="6" customWidth="1" min="30" max="30"/>
    <col width="14" customWidth="1" min="31" max="31"/>
    <col width="23.7" customWidth="1" min="32" max="32"/>
    <col width="6" customWidth="1" min="33" max="33"/>
    <col width="8" customWidth="1" min="34" max="34"/>
    <col width="10" customWidth="1" min="35" max="35"/>
    <col width="13" customWidth="1" min="36" max="36"/>
    <col width="12" customWidth="1" min="37" max="37"/>
    <col width="18" customWidth="1" min="38" max="38"/>
    <col width="25" customWidth="1" min="39" max="39"/>
    <col width="12" customWidth="1" min="40" max="40"/>
  </cols>
  <sheetData>
    <row r="1">
      <c r="A1" s="3" t="inlineStr">
        <is>
          <t>MY25 EV平台中控主机_TARA分析结果 TARA Analysis Results</t>
        </is>
      </c>
    </row>
    <row r="3">
      <c r="A3" s="8" t="inlineStr">
        <is>
          <t>Asset Identification资产识别</t>
        </is>
      </c>
      <c r="B3" s="9" t="n"/>
      <c r="C3" s="9" t="n"/>
      <c r="D3" s="9" t="n"/>
      <c r="E3" s="9" t="n"/>
      <c r="F3" s="9" t="n"/>
      <c r="G3" s="8" t="inlineStr">
        <is>
          <t>Threat &amp; Damage Scenario
威胁&amp;损害场景</t>
        </is>
      </c>
      <c r="H3" s="9" t="n"/>
      <c r="I3" s="9" t="n"/>
      <c r="J3" s="9" t="n"/>
      <c r="K3" s="9" t="n"/>
      <c r="L3" s="8" t="inlineStr">
        <is>
          <t>Threat Analysis
威胁分析</t>
        </is>
      </c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8" t="inlineStr">
        <is>
          <t>Impact Analysis
影响分析</t>
        </is>
      </c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14" t="n"/>
      <c r="AK3" s="14" t="n"/>
      <c r="AL3" s="8" t="inlineStr">
        <is>
          <t>Risk Mitigation
风险缓解</t>
        </is>
      </c>
      <c r="AM3" s="9" t="n"/>
      <c r="AN3" s="9" t="n"/>
    </row>
    <row r="4">
      <c r="A4" s="10" t="inlineStr">
        <is>
          <t>Asset
ID
资产ID</t>
        </is>
      </c>
      <c r="B4" s="10" t="inlineStr">
        <is>
          <t>Asset Name
资产名称</t>
        </is>
      </c>
      <c r="C4" s="10" t="inlineStr">
        <is>
          <t>细分类</t>
        </is>
      </c>
      <c r="D4" s="9" t="n"/>
      <c r="E4" s="9" t="n"/>
      <c r="F4" s="10" t="inlineStr">
        <is>
          <t>Category
分类</t>
        </is>
      </c>
      <c r="G4" s="10" t="inlineStr">
        <is>
          <t>Security Attributes
安全属性</t>
        </is>
      </c>
      <c r="H4" s="10" t="inlineStr">
        <is>
          <t>STRIDE Model
STRIDE模型</t>
        </is>
      </c>
      <c r="I4" s="10" t="inlineStr">
        <is>
          <t>Potential Threat and Damage Scenario
潜在威胁和损害场景</t>
        </is>
      </c>
      <c r="J4" s="10" t="inlineStr">
        <is>
          <t>Attack Path
攻击路径</t>
        </is>
      </c>
      <c r="K4" s="10" t="inlineStr">
        <is>
          <t xml:space="preserve">来源
</t>
        </is>
      </c>
      <c r="L4" s="10" t="inlineStr">
        <is>
          <t>Attack Vector(V)
攻击向量</t>
        </is>
      </c>
      <c r="M4" s="9" t="n"/>
      <c r="N4" s="10" t="inlineStr">
        <is>
          <t>Attack Complexity(C)
攻击复杂度</t>
        </is>
      </c>
      <c r="O4" s="9" t="n"/>
      <c r="P4" s="10" t="inlineStr">
        <is>
          <t>Privileges Required(P)
权限要求</t>
        </is>
      </c>
      <c r="Q4" s="9" t="n"/>
      <c r="R4" s="10" t="inlineStr">
        <is>
          <t>User Interaction(U)
用户交互</t>
        </is>
      </c>
      <c r="S4" s="9" t="n"/>
      <c r="T4" s="10" t="inlineStr">
        <is>
          <t>Attack Feasibility
攻击可行性计算</t>
        </is>
      </c>
      <c r="U4" s="9" t="n"/>
      <c r="V4" s="10" t="inlineStr">
        <is>
          <t>Safety
安全</t>
        </is>
      </c>
      <c r="W4" s="9" t="n"/>
      <c r="X4" s="9" t="n"/>
      <c r="Y4" s="10" t="inlineStr">
        <is>
          <t>Financial
经济</t>
        </is>
      </c>
      <c r="Z4" s="9" t="n"/>
      <c r="AA4" s="9" t="n"/>
      <c r="AB4" s="10" t="inlineStr">
        <is>
          <t>Operational
操作</t>
        </is>
      </c>
      <c r="AC4" s="9" t="n"/>
      <c r="AD4" s="9" t="n"/>
      <c r="AE4" s="10" t="inlineStr">
        <is>
          <t>Privacy &amp; Legislation
隐私和法律</t>
        </is>
      </c>
      <c r="AF4" s="9" t="n"/>
      <c r="AG4" s="9" t="n"/>
      <c r="AH4" s="10" t="inlineStr">
        <is>
          <t>Impact Level Calculation
影响等级计算</t>
        </is>
      </c>
      <c r="AI4" s="9" t="n"/>
      <c r="AJ4" s="10" t="inlineStr">
        <is>
          <t>Risk Level
风险等级</t>
        </is>
      </c>
      <c r="AK4" s="10" t="inlineStr">
        <is>
          <t>Risk Treatment Decision
风险处置决策</t>
        </is>
      </c>
      <c r="AL4" s="10" t="inlineStr">
        <is>
          <t>Security Goal
安全目标</t>
        </is>
      </c>
      <c r="AM4" s="10" t="inlineStr">
        <is>
          <t>Security Requirement
安全需求</t>
        </is>
      </c>
      <c r="AN4" s="10" t="inlineStr">
        <is>
          <t xml:space="preserve">Source来源
</t>
        </is>
      </c>
    </row>
    <row r="5">
      <c r="A5" s="9" t="n"/>
      <c r="B5" s="9" t="n"/>
      <c r="C5" s="15" t="inlineStr">
        <is>
          <t>子领域一</t>
        </is>
      </c>
      <c r="D5" s="15" t="inlineStr">
        <is>
          <t>子领域二</t>
        </is>
      </c>
      <c r="E5" s="15" t="inlineStr">
        <is>
          <t>子领域三</t>
        </is>
      </c>
      <c r="F5" s="9" t="n"/>
      <c r="G5" s="9" t="n"/>
      <c r="H5" s="9" t="n"/>
      <c r="I5" s="9" t="n"/>
      <c r="J5" s="9" t="n"/>
      <c r="K5" s="15" t="inlineStr">
        <is>
          <t>WP29威胁映射</t>
        </is>
      </c>
      <c r="L5" s="15" t="inlineStr">
        <is>
          <t>Time
内容</t>
        </is>
      </c>
      <c r="M5" s="15" t="inlineStr">
        <is>
          <t>Value
指标值</t>
        </is>
      </c>
      <c r="N5" s="15" t="inlineStr">
        <is>
          <t>Content
内容</t>
        </is>
      </c>
      <c r="O5" s="15" t="inlineStr">
        <is>
          <t>Value
指标值</t>
        </is>
      </c>
      <c r="P5" s="15" t="inlineStr">
        <is>
          <t>Level
等级</t>
        </is>
      </c>
      <c r="Q5" s="15" t="inlineStr">
        <is>
          <t>Value
指标值</t>
        </is>
      </c>
      <c r="R5" s="15" t="inlineStr">
        <is>
          <t>Level
等级</t>
        </is>
      </c>
      <c r="S5" s="15" t="inlineStr">
        <is>
          <t>Value
指标值</t>
        </is>
      </c>
      <c r="T5" s="15" t="inlineStr">
        <is>
          <t>Calculation
计算值</t>
        </is>
      </c>
      <c r="U5" s="15" t="inlineStr">
        <is>
          <t>Level
等级</t>
        </is>
      </c>
      <c r="V5" s="15" t="inlineStr">
        <is>
          <t>Content
内容</t>
        </is>
      </c>
      <c r="W5" s="15" t="inlineStr">
        <is>
          <t>Notes
注释</t>
        </is>
      </c>
      <c r="X5" s="15" t="inlineStr">
        <is>
          <t>Value
指标值</t>
        </is>
      </c>
      <c r="Y5" s="15" t="inlineStr">
        <is>
          <t>Content
内容</t>
        </is>
      </c>
      <c r="Z5" s="15" t="inlineStr">
        <is>
          <t>Notes
注释</t>
        </is>
      </c>
      <c r="AA5" s="15" t="inlineStr">
        <is>
          <t>Value
指标值</t>
        </is>
      </c>
      <c r="AB5" s="15" t="inlineStr">
        <is>
          <t>Content
内容</t>
        </is>
      </c>
      <c r="AC5" s="15" t="inlineStr">
        <is>
          <t>Notes
注释</t>
        </is>
      </c>
      <c r="AD5" s="15" t="inlineStr">
        <is>
          <t>Value
指标值</t>
        </is>
      </c>
      <c r="AE5" s="15" t="inlineStr">
        <is>
          <t>Content
内容</t>
        </is>
      </c>
      <c r="AF5" s="15" t="inlineStr">
        <is>
          <t>Notes
注释</t>
        </is>
      </c>
      <c r="AG5" s="15" t="inlineStr">
        <is>
          <t>Value
指标值</t>
        </is>
      </c>
      <c r="AH5" s="15" t="inlineStr">
        <is>
          <t>Impact Calc
影响计算</t>
        </is>
      </c>
      <c r="AI5" s="15" t="inlineStr">
        <is>
          <t>Impact Level
影响等级</t>
        </is>
      </c>
      <c r="AJ5" s="9" t="n"/>
      <c r="AK5" s="9" t="n"/>
      <c r="AL5" s="9" t="n"/>
      <c r="AM5" s="9" t="n"/>
      <c r="AN5" s="15" t="inlineStr">
        <is>
          <t>WP29 Control Mapping</t>
        </is>
      </c>
    </row>
    <row r="6">
      <c r="A6" s="11" t="inlineStr">
        <is>
          <t>P001</t>
        </is>
      </c>
      <c r="B6" s="11" t="inlineStr">
        <is>
          <t>车载多媒体</t>
        </is>
      </c>
      <c r="C6" s="12" t="inlineStr">
        <is>
          <t>系统实体</t>
        </is>
      </c>
      <c r="D6" s="12" t="inlineStr">
        <is>
          <t>N/A</t>
        </is>
      </c>
      <c r="E6" s="12" t="inlineStr">
        <is>
          <t>SOC</t>
        </is>
      </c>
      <c r="F6" s="12" t="inlineStr">
        <is>
          <t>内部实体</t>
        </is>
      </c>
      <c r="G6" s="12" t="inlineStr">
        <is>
          <t>"Authenticity | 真实性"</t>
        </is>
      </c>
      <c r="H6" s="12" t="inlineStr">
        <is>
          <t>S欺骗</t>
        </is>
      </c>
      <c r="I6" s="12" t="inlineStr">
        <is>
          <t>黑客仿冒、篡改SOC模块</t>
        </is>
      </c>
      <c r="J6" s="12" t="inlineStr">
        <is>
          <t>攻击路径示例</t>
        </is>
      </c>
      <c r="K6" s="12" t="inlineStr">
        <is>
          <t>4.1
5.1</t>
        </is>
      </c>
      <c r="L6" s="12" t="inlineStr">
        <is>
          <t>本地</t>
        </is>
      </c>
      <c r="M6" s="12">
        <f>IF(L6="网络",0.85,IF(L6="邻居",0.62,IF(L6="本地",0.55,IF(L6="物理",0.2))))</f>
        <v/>
      </c>
      <c r="N6" s="12" t="inlineStr">
        <is>
          <t>低</t>
        </is>
      </c>
      <c r="O6" s="12">
        <f>IF(N6="低",0.77,IF(N6="高",0.44))</f>
        <v/>
      </c>
      <c r="P6" s="12" t="inlineStr">
        <is>
          <t>低</t>
        </is>
      </c>
      <c r="Q6" s="12">
        <f>IF(P6="无",0.85,IF(P6="低",0.62,IF(P6="高",0.27)))</f>
        <v/>
      </c>
      <c r="R6" s="12" t="inlineStr">
        <is>
          <t>不需要</t>
        </is>
      </c>
      <c r="S6" s="12">
        <f>IF(R6="不需要",0.85,IF(R6="需要",0.62))</f>
        <v/>
      </c>
      <c r="T6" s="12">
        <f>8.22*M6*O6*Q6*S6</f>
        <v/>
      </c>
      <c r="U6" s="12">
        <f>IF(T6&lt;=1.05,"很低",IF(T6&lt;=1.99,"低",IF(T6&lt;=2.95,"中",IF(T6&lt;=3.89,"高"))))</f>
        <v/>
      </c>
      <c r="V6" s="12" t="inlineStr">
        <is>
          <t>中等的</t>
        </is>
      </c>
      <c r="W6" s="12">
        <f>IF(V6="可忽略不计的","没有受伤",IF(V6="中等的","轻度和中度伤害",IF(V6="重大的","重伤和生命危险（可能幸存）",IF(V6="严重的","威胁生命的伤害（尚不确定生存），致命伤害"))))</f>
        <v/>
      </c>
      <c r="X6" s="12">
        <f>IF(V6="可忽略不计的",0,IF(V6="中等的",10,IF(V6="重大的",100,IF(V6="严重的",1000))))</f>
        <v/>
      </c>
      <c r="Y6" s="12" t="inlineStr">
        <is>
          <t>中等的</t>
        </is>
      </c>
      <c r="Z6" s="12">
        <f>IF(Y6="可忽略不计的","财务损失不会产生任何影响，可忽略给后果或与利益相关者无关",IF(Y6="中等的","经济损失会带来不便的后果，受影响的利益相关者将能够用有限的资源来克服这些后果",IF(Y6="重大的","经济损失导致重大后果，受影响的利益相关者将能够克服",IF(Y6="严重的","经济损失导致灾难性后果，受影响的利益相关者可能无法克服"))))</f>
        <v/>
      </c>
      <c r="AA6" s="12">
        <f>IF(Y6="可忽略不计的",0,IF(Y6="中等的","10",IF(Y6="重大的",100,IF(Y6="严重的",1000))))</f>
        <v/>
      </c>
      <c r="AB6" s="12" t="inlineStr">
        <is>
          <t>重大的</t>
        </is>
      </c>
      <c r="AC6" s="12">
        <f>IF(AB6="可忽略不计的","操作损坏不会导致车辆功能或性能下降，也不会导致性能下降",IF(AB6="中等的","操作损坏会导致车辆功能或性能的部分下降",IF(AB6="重大的","操作损坏导致车辆功能丧失",IF(AB6="严重的","操作损坏导致车辆从不希望的运行到无法运行的所有车辆不工作"))))</f>
        <v/>
      </c>
      <c r="AD6" s="12">
        <f>IF(AB6="可忽略不计的",0,IF(AB6="中等的",1,IF(AB6="重大的",10,IF(AB6="严重的",100))))</f>
        <v/>
      </c>
      <c r="AE6" s="12" t="inlineStr">
        <is>
          <t>可忽略不计的</t>
        </is>
      </c>
      <c r="AF6" s="12">
        <f>IF(AE6="可忽略不计的","隐私危害不会产生任何影响,也不会给道路使用者带来不便",IF(AE6="中等的","隐私危害给道路使用者带来极大的不便",IF(AE6="重大的","隐私危害会严重影响道路使用者",IF(AE6="严重的","隐私危害对道路使用者造成重大甚至不可逆转的影响"))))</f>
        <v/>
      </c>
      <c r="AG6" s="12">
        <f>IF(AE6="可忽略不计的",0,IF(AE6="中等的",1,IF(AE6="重大的",10,IF(AE6="严重的",100))))</f>
        <v/>
      </c>
      <c r="AH6" s="12">
        <f>SUM(X6+AA6+AD6+AG6)</f>
        <v/>
      </c>
      <c r="AI6" s="12">
        <f>IF(AH6&gt;=1000,"严重的",IF(AH6&gt;=100,"重大的",IF(AH6&gt;=20,"中等的",IF(AH6&gt;=10,"微不足道","无影响"))))</f>
        <v/>
      </c>
      <c r="AJ6" s="12">
        <f>IF(AND(AI6="无影响",U6="无"),"QM",IF(AND(AI6="无影响",U6="很低"),"QM",IF(AND(AI6="无影响",U6="低"),"QM",IF(AND(AI6="无影响",U6="中"),"QM",IF(AND(AI6="无影响",U6="高"),"Low",IF(AND(AI6="微不足道",U6="无"),"QM",IF(AND(AI6="微不足道",U6="很低"),"Low",IF(AND(AI6="微不足道",U6="低"),"Low",IF(AND(AI6="微不足道",U6="中"),"Low",IF(AND(AI6="微不足道",U6="高"),"Medium",IF(AND(AI6="中等的",U6="无"),"QM",IF(AND(AI6="中等的",U6="很低"),"Low",IF(AND(AI6="中等的",U6="低"),"Medium",IF(AND(AI6="中等的",U6="中"),"Medium",IF(AND(AI6="中等的",U6="高"),"High",IF(AND(AI6="重大的",U6="无"),"QM",IF(AND(AI6="重大的",U6="很低"),"Low",IF(AND(AI6="重大的",U6="低"),"Medium",IF(AND(AI6="重大的",U6="中"),"High",IF(AND(AI6="重大的",U6="高"),"High",IF(AND(AI6="严重的",U6="无"),"Low",IF(AND(AI6="严重的",U6="很低"),"Medium",IF(AND(AI6="严重的",U6="低"),"High",IF(AND(AI6="严重的",U6="中"),"High",IF(AND(AI6="严重的",U6="高"),"Critical")))))))))))))))))))))))))</f>
        <v/>
      </c>
      <c r="AK6" s="12">
        <f>IF(OR(AJ6="QM",AJ6="Low"),"保留风险",IF(OR(AJ6="Medium",AJ6="Critical",AJ6="High"),"降低风险","保留风险"))</f>
        <v/>
      </c>
      <c r="AL6" s="12">
        <f>IF(AK6="保留风险","/",IF(OR(AK6="降低风险",AK6="转移风险",AK6="消除风险"),"应保护"&amp;E6&amp;"的"&amp;G6,"NA"))</f>
        <v/>
      </c>
      <c r="AM6" s="12" t="inlineStr">
        <is>
          <t>安全要求示例</t>
        </is>
      </c>
      <c r="AN6" s="12">
        <f>IF(H6="T篡改","M10",IF(H6="D拒绝服务","M13",IF(H6="I信息泄露","M12"&amp;CHAR(10)&amp;"M24",IF(H6="S欺骗","M10"&amp;CHAR(10)&amp;"M11",IF(H6="E权限提升","M8"&amp;CHAR(10)&amp;"M9",IF(H6="R抵赖","M9"&amp;CHAR(10)&amp;"M10"))))))</f>
        <v/>
      </c>
    </row>
    <row r="7">
      <c r="A7" s="9" t="n"/>
      <c r="B7" s="9" t="n"/>
      <c r="C7" s="9" t="n"/>
      <c r="D7" s="9" t="n"/>
      <c r="E7" s="12" t="inlineStr">
        <is>
          <t>SOC</t>
        </is>
      </c>
      <c r="F7" s="12" t="inlineStr"/>
      <c r="G7" s="12" t="inlineStr">
        <is>
          <t>"Availability | 可用性"</t>
        </is>
      </c>
      <c r="H7" s="12" t="inlineStr">
        <is>
          <t>D拒绝服务</t>
        </is>
      </c>
      <c r="I7" s="12" t="inlineStr">
        <is>
          <t>拒绝服务攻击</t>
        </is>
      </c>
      <c r="J7" s="12" t="inlineStr">
        <is>
          <t>攻击路径示例2</t>
        </is>
      </c>
      <c r="K7" s="12" t="inlineStr">
        <is>
          <t>24.1</t>
        </is>
      </c>
      <c r="L7" s="12" t="inlineStr">
        <is>
          <t>本地</t>
        </is>
      </c>
      <c r="M7" s="12">
        <f>IF(L7="网络",0.85,IF(L7="邻居",0.62,IF(L7="本地",0.55,IF(L7="物理",0.2))))</f>
        <v/>
      </c>
      <c r="N7" s="12" t="inlineStr">
        <is>
          <t>低</t>
        </is>
      </c>
      <c r="O7" s="12">
        <f>IF(N7="低",0.77,IF(N7="高",0.44))</f>
        <v/>
      </c>
      <c r="P7" s="12" t="inlineStr">
        <is>
          <t>低</t>
        </is>
      </c>
      <c r="Q7" s="12">
        <f>IF(P7="无",0.85,IF(P7="低",0.62,IF(P7="高",0.27)))</f>
        <v/>
      </c>
      <c r="R7" s="12" t="inlineStr">
        <is>
          <t>不需要</t>
        </is>
      </c>
      <c r="S7" s="12">
        <f>IF(R7="不需要",0.85,IF(R7="需要",0.62))</f>
        <v/>
      </c>
      <c r="T7" s="12">
        <f>8.22*M7*O7*Q7*S7</f>
        <v/>
      </c>
      <c r="U7" s="12">
        <f>IF(T7&lt;=1.05,"很低",IF(T7&lt;=1.99,"低",IF(T7&lt;=2.95,"中",IF(T7&lt;=3.89,"高"))))</f>
        <v/>
      </c>
      <c r="V7" s="12" t="inlineStr">
        <is>
          <t>可忽略不计的</t>
        </is>
      </c>
      <c r="W7" s="12">
        <f>IF(V7="可忽略不计的","没有受伤",IF(V7="中等的","轻度和中度伤害",IF(V7="重大的","重伤和生命危险（可能幸存）",IF(V7="严重的","威胁生命的伤害（尚不确定生存），致命伤害"))))</f>
        <v/>
      </c>
      <c r="X7" s="12">
        <f>IF(V7="可忽略不计的",0,IF(V7="中等的",10,IF(V7="重大的",100,IF(V7="严重的",1000))))</f>
        <v/>
      </c>
      <c r="Y7" s="12" t="inlineStr">
        <is>
          <t>中等的</t>
        </is>
      </c>
      <c r="Z7" s="12">
        <f>IF(Y7="可忽略不计的","财务损失不会产生任何影响，可忽略给后果或与利益相关者无关",IF(Y7="中等的","经济损失会带来不便的后果，受影响的利益相关者将能够用有限的资源来克服这些后果",IF(Y7="重大的","经济损失导致重大后果，受影响的利益相关者将能够克服",IF(Y7="严重的","经济损失导致灾难性后果，受影响的利益相关者可能无法克服"))))</f>
        <v/>
      </c>
      <c r="AA7" s="12">
        <f>IF(Y7="可忽略不计的",0,IF(Y7="中等的","10",IF(Y7="重大的",100,IF(Y7="严重的",1000))))</f>
        <v/>
      </c>
      <c r="AB7" s="12" t="inlineStr">
        <is>
          <t>重大的</t>
        </is>
      </c>
      <c r="AC7" s="12">
        <f>IF(AB7="可忽略不计的","操作损坏不会导致车辆功能或性能下降，也不会导致性能下降",IF(AB7="中等的","操作损坏会导致车辆功能或性能的部分下降",IF(AB7="重大的","操作损坏导致车辆功能丧失",IF(AB7="严重的","操作损坏导致车辆从不希望的运行到无法运行的所有车辆不工作"))))</f>
        <v/>
      </c>
      <c r="AD7" s="12">
        <f>IF(AB7="可忽略不计的",0,IF(AB7="中等的",1,IF(AB7="重大的",10,IF(AB7="严重的",100))))</f>
        <v/>
      </c>
      <c r="AE7" s="12" t="inlineStr">
        <is>
          <t>可忽略不计的</t>
        </is>
      </c>
      <c r="AF7" s="12">
        <f>IF(AE7="可忽略不计的","隐私危害不会产生任何影响,也不会给道路使用者带来不便",IF(AE7="中等的","隐私危害给道路使用者带来极大的不便",IF(AE7="重大的","隐私危害会严重影响道路使用者",IF(AE7="严重的","隐私危害对道路使用者造成重大甚至不可逆转的影响"))))</f>
        <v/>
      </c>
      <c r="AG7" s="12">
        <f>IF(AE7="可忽略不计的",0,IF(AE7="中等的",1,IF(AE7="重大的",10,IF(AE7="严重的",100))))</f>
        <v/>
      </c>
      <c r="AH7" s="12">
        <f>SUM(X7+AA7+AD7+AG7)</f>
        <v/>
      </c>
      <c r="AI7" s="12">
        <f>IF(AH7&gt;=1000,"严重的",IF(AH7&gt;=100,"重大的",IF(AH7&gt;=20,"中等的",IF(AH7&gt;=10,"微不足道","无影响"))))</f>
        <v/>
      </c>
      <c r="AJ7" s="12">
        <f>IF(AND(AI7="无影响",U7="无"),"QM",IF(AND(AI7="无影响",U7="很低"),"QM",IF(AND(AI7="无影响",U7="低"),"QM",IF(AND(AI7="无影响",U7="中"),"QM",IF(AND(AI7="无影响",U7="高"),"Low",IF(AND(AI7="微不足道",U7="无"),"QM",IF(AND(AI7="微不足道",U7="很低"),"Low",IF(AND(AI7="微不足道",U7="低"),"Low",IF(AND(AI7="微不足道",U7="中"),"Low",IF(AND(AI7="微不足道",U7="高"),"Medium",IF(AND(AI7="中等的",U7="无"),"QM",IF(AND(AI7="中等的",U7="很低"),"Low",IF(AND(AI7="中等的",U7="低"),"Medium",IF(AND(AI7="中等的",U7="中"),"Medium",IF(AND(AI7="中等的",U7="高"),"High",IF(AND(AI7="重大的",U7="无"),"QM",IF(AND(AI7="重大的",U7="很低"),"Low",IF(AND(AI7="重大的",U7="低"),"Medium",IF(AND(AI7="重大的",U7="中"),"High",IF(AND(AI7="重大的",U7="高"),"High",IF(AND(AI7="严重的",U7="无"),"Low",IF(AND(AI7="严重的",U7="很低"),"Medium",IF(AND(AI7="严重的",U7="低"),"High",IF(AND(AI7="严重的",U7="中"),"High",IF(AND(AI7="严重的",U7="高"),"Critical")))))))))))))))))))))))))</f>
        <v/>
      </c>
      <c r="AK7" s="12">
        <f>IF(OR(AJ7="QM",AJ7="Low"),"保留风险",IF(OR(AJ7="Medium",AJ7="Critical",AJ7="High"),"降低风险","保留风险"))</f>
        <v/>
      </c>
      <c r="AL7" s="12">
        <f>IF(AK7="保留风险","/",IF(OR(AK7="降低风险",AK7="转移风险",AK7="消除风险"),"应保护"&amp;E7&amp;"的"&amp;G7,"NA"))</f>
        <v/>
      </c>
      <c r="AM7" s="12" t="inlineStr">
        <is>
          <t>安全要求示例2</t>
        </is>
      </c>
      <c r="AN7" s="12">
        <f>IF(H7="T篡改","M10",IF(H7="D拒绝服务","M13",IF(H7="I信息泄露","M12"&amp;CHAR(10)&amp;"M24",IF(H7="S欺骗","M10"&amp;CHAR(10)&amp;"M11",IF(H7="E权限提升","M8"&amp;CHAR(10)&amp;"M9",IF(H7="R抵赖","M9"&amp;CHAR(10)&amp;"M10"))))))</f>
        <v/>
      </c>
    </row>
  </sheetData>
  <mergeCells count="32">
    <mergeCell ref="P4:Q4"/>
    <mergeCell ref="V3:AI3"/>
    <mergeCell ref="A6:A7"/>
    <mergeCell ref="A3:F3"/>
    <mergeCell ref="AL3:AN3"/>
    <mergeCell ref="R4:S4"/>
    <mergeCell ref="T4:U4"/>
    <mergeCell ref="AH4:AI4"/>
    <mergeCell ref="J4:J5"/>
    <mergeCell ref="AM4:AM5"/>
    <mergeCell ref="B6:B7"/>
    <mergeCell ref="G3:K3"/>
    <mergeCell ref="L4:M4"/>
    <mergeCell ref="A4:A5"/>
    <mergeCell ref="G4:G5"/>
    <mergeCell ref="I4:I5"/>
    <mergeCell ref="L3:U3"/>
    <mergeCell ref="AJ4:AJ5"/>
    <mergeCell ref="Y4:AA4"/>
    <mergeCell ref="AL4:AL5"/>
    <mergeCell ref="AE4:AG4"/>
    <mergeCell ref="A1:AN1"/>
    <mergeCell ref="B4:B5"/>
    <mergeCell ref="F4:F5"/>
    <mergeCell ref="H4:H5"/>
    <mergeCell ref="C4:E4"/>
    <mergeCell ref="V4:X4"/>
    <mergeCell ref="AB4:AD4"/>
    <mergeCell ref="C6:C7"/>
    <mergeCell ref="AK4:AK5"/>
    <mergeCell ref="D6:D7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2025-12-18T09:12:48Z</dcterms:created>
  <dcterms:modified xmlns:dcterms="http://purl.org/dc/terms/" xmlns:xsi="http://www.w3.org/2001/XMLSchema-instance" xsi:type="dcterms:W3CDTF">2025-12-18T09:12:48Z</dcterms:modified>
</cp:coreProperties>
</file>