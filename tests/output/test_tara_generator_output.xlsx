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封面 Front Cover" sheetId="1" state="visible" r:id="rId1"/>
    <sheet name="1-相关定义" sheetId="2" state="visible" r:id="rId2"/>
    <sheet name="2-资产列表" sheetId="3" state="visible" r:id="rId3"/>
    <sheet name="3-数据流图" sheetId="4" state="visible" r:id="rId4"/>
    <sheet name="4-攻击树图" sheetId="5" state="visible" r:id="rId5"/>
    <sheet name="5-TARA分析结果" sheetId="6" state="visible" r:id="rId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24"/>
    </font>
    <font>
      <sz val="16"/>
    </font>
    <font>
      <b val="1"/>
      <color rgb="002F5496"/>
      <sz val="14"/>
    </font>
    <font>
      <b val="1"/>
      <sz val="12"/>
    </font>
    <font>
      <b val="1"/>
      <color rgb="00FFFFFF"/>
      <sz val="10"/>
    </font>
    <font>
      <b val="1"/>
      <sz val="10"/>
    </font>
    <font>
      <sz val="9"/>
    </font>
    <font>
      <name val="Courier New"/>
      <sz val="10"/>
    </font>
    <font>
      <b val="1"/>
      <sz val="11"/>
    </font>
    <font>
      <name val="Courier New"/>
      <sz val="9"/>
    </font>
    <font>
      <b val="1"/>
      <sz val="9"/>
    </font>
  </fonts>
  <fills count="5">
    <fill>
      <patternFill/>
    </fill>
    <fill>
      <patternFill patternType="gray125"/>
    </fill>
    <fill>
      <patternFill patternType="solid">
        <fgColor rgb="002F5496"/>
        <bgColor rgb="002F5496"/>
      </patternFill>
    </fill>
    <fill>
      <patternFill patternType="solid">
        <fgColor rgb="004472C4"/>
        <bgColor rgb="004472C4"/>
      </patternFill>
    </fill>
    <fill>
      <patternFill patternType="solid">
        <fgColor rgb="008EA9DB"/>
        <bgColor rgb="008EA9DB"/>
      </patternFill>
    </fill>
  </fills>
  <borders count="5">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2" borderId="1" applyAlignment="1" pivotButton="0" quotePrefix="0" xfId="0">
      <alignment horizontal="center" vertical="center" wrapText="1"/>
    </xf>
    <xf numFmtId="0" fontId="0" fillId="0" borderId="1" pivotButton="0" quotePrefix="0" xfId="0"/>
    <xf numFmtId="0" fontId="6" fillId="3" borderId="1" applyAlignment="1" pivotButton="0" quotePrefix="0" xfId="0">
      <alignment horizontal="center" vertical="center" wrapText="1"/>
    </xf>
    <xf numFmtId="0" fontId="7" fillId="0" borderId="1" applyAlignment="1" pivotButton="0" quotePrefix="0" xfId="0">
      <alignment horizontal="left" vertical="center" wrapText="1"/>
    </xf>
    <xf numFmtId="0" fontId="7" fillId="0" borderId="1" applyAlignment="1" pivotButton="0" quotePrefix="0" xfId="0">
      <alignment horizontal="center" vertical="center" wrapText="1"/>
    </xf>
    <xf numFmtId="0" fontId="8" fillId="0" borderId="0" applyAlignment="1" pivotButton="0" quotePrefix="0" xfId="0">
      <alignment vertical="top" wrapText="1"/>
    </xf>
    <xf numFmtId="0" fontId="9" fillId="0" borderId="0" pivotButton="0" quotePrefix="0" xfId="0"/>
    <xf numFmtId="0" fontId="10" fillId="0" borderId="0" applyAlignment="1" pivotButton="0" quotePrefix="0" xfId="0">
      <alignment vertical="top" wrapText="1"/>
    </xf>
    <xf numFmtId="0" fontId="11"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4:G12"/>
  <sheetViews>
    <sheetView workbookViewId="0">
      <selection activeCell="A1" sqref="A1"/>
    </sheetView>
  </sheetViews>
  <sheetFormatPr baseColWidth="8" defaultRowHeight="15"/>
  <cols>
    <col width="15" customWidth="1" min="1" max="1"/>
    <col width="50" customWidth="1" min="6" max="6"/>
  </cols>
  <sheetData>
    <row r="4">
      <c r="F4" t="inlineStr">
        <is>
          <t>数据等级：秘密
Data level: Confidential</t>
        </is>
      </c>
    </row>
    <row r="5">
      <c r="F5" t="inlineStr">
        <is>
          <t>编号：IPC0011_JF_A30-44003
Number: IPC0011_JF_A30-44003</t>
        </is>
      </c>
    </row>
    <row r="6">
      <c r="F6" t="inlineStr">
        <is>
          <t>版本：1.0
Version：1.0</t>
        </is>
      </c>
    </row>
    <row r="7">
      <c r="A7" s="1" t="inlineStr">
        <is>
          <t>威胁分析和风险评估报告
Threat Analysis And Risk Assessment Report</t>
        </is>
      </c>
    </row>
    <row r="8">
      <c r="E8" s="2" t="inlineStr">
        <is>
          <t>——DiLink150中控主机平台</t>
        </is>
      </c>
    </row>
    <row r="9">
      <c r="A9" t="inlineStr">
        <is>
          <t>编制/日期：
Author/Date</t>
        </is>
      </c>
      <c r="C9" t="inlineStr">
        <is>
          <t>2025.11</t>
        </is>
      </c>
    </row>
    <row r="10">
      <c r="A10" t="inlineStr">
        <is>
          <t>审核/日期：
Review/Date</t>
        </is>
      </c>
      <c r="C10" t="inlineStr">
        <is>
          <t>2025.0</t>
        </is>
      </c>
    </row>
    <row r="11">
      <c r="A11" t="inlineStr">
        <is>
          <t>会签/日期：
Signature/Date</t>
        </is>
      </c>
      <c r="C11" t="inlineStr"/>
    </row>
    <row r="12">
      <c r="A12" t="inlineStr">
        <is>
          <t>批准/日期：
Approve/Date</t>
        </is>
      </c>
      <c r="C12" t="inlineStr"/>
    </row>
  </sheetData>
  <mergeCells count="1">
    <mergeCell ref="A7:G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4"/>
  <sheetViews>
    <sheetView workbookViewId="0">
      <selection activeCell="A1" sqref="A1"/>
    </sheetView>
  </sheetViews>
  <sheetFormatPr baseColWidth="8" defaultRowHeight="15"/>
  <cols>
    <col width="20" customWidth="1" min="1" max="1"/>
    <col width="25" customWidth="1" min="2" max="2"/>
    <col width="25" customWidth="1" min="3" max="3"/>
    <col width="25" customWidth="1" min="4" max="4"/>
    <col width="25" customWidth="1" min="5" max="5"/>
    <col width="25" customWidth="1" min="6" max="6"/>
  </cols>
  <sheetData>
    <row r="1">
      <c r="A1" s="3" t="inlineStr">
        <is>
          <t>MY25 EV平台中控主机 TARA分析报告 - 相关定义</t>
        </is>
      </c>
    </row>
    <row r="3">
      <c r="A3" s="4" t="inlineStr">
        <is>
          <t>1. 功能描述 Functional Description</t>
        </is>
      </c>
    </row>
    <row r="4">
      <c r="A4" s="5" t="inlineStr">
        <is>
          <t>车载信息娱乐系统(In-Vehicle Infotainment, IVI)是一种集成多媒体娱乐、导航、车辆信息显示、通信和车辆控制功能于一体的车载电子系统。</t>
        </is>
      </c>
    </row>
    <row r="5"/>
    <row r="6"/>
    <row r="12">
      <c r="A12" s="4" t="inlineStr">
        <is>
          <t>2. 项目边界图 Item Boundary Diagram</t>
        </is>
      </c>
    </row>
    <row r="40">
      <c r="A40" s="4" t="inlineStr">
        <is>
          <t>3. 系统架构图 System Architecture Diagram</t>
        </is>
      </c>
    </row>
    <row r="70">
      <c r="A70" s="4" t="inlineStr">
        <is>
          <t>4. 参考标准 Reference Standards</t>
        </is>
      </c>
    </row>
    <row r="71">
      <c r="B71" t="inlineStr">
        <is>
          <t>• ISO/SAE 21434:2021 - Road vehicles — Cybersecurity engineering</t>
        </is>
      </c>
    </row>
    <row r="72">
      <c r="B72" t="inlineStr">
        <is>
          <t>• UN R155 - Cyber Security Management System</t>
        </is>
      </c>
    </row>
    <row r="73">
      <c r="B73" t="inlineStr">
        <is>
          <t>• UN R156 - Software Update Management System</t>
        </is>
      </c>
    </row>
    <row r="74">
      <c r="B74" t="inlineStr">
        <is>
          <t>• GB/T XXXXX - 汽车网络安全相关标准</t>
        </is>
      </c>
    </row>
  </sheetData>
  <mergeCells count="10">
    <mergeCell ref="B73:F73"/>
    <mergeCell ref="A1:F1"/>
    <mergeCell ref="A4:F6"/>
    <mergeCell ref="A70:F70"/>
    <mergeCell ref="B72:F72"/>
    <mergeCell ref="A40:F40"/>
    <mergeCell ref="A12:F12"/>
    <mergeCell ref="B71:F71"/>
    <mergeCell ref="A3:F3"/>
    <mergeCell ref="B74:F7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0" customWidth="1" min="1" max="1"/>
    <col width="15" customWidth="1" min="2" max="2"/>
    <col width="12" customWidth="1" min="3" max="3"/>
    <col width="40" customWidth="1" min="4" max="4"/>
    <col width="12" customWidth="1" min="5" max="5"/>
    <col width="12" customWidth="1" min="6" max="6"/>
    <col width="14" customWidth="1" min="7" max="7"/>
    <col width="12" customWidth="1" min="8" max="8"/>
    <col width="12" customWidth="1" min="9" max="9"/>
    <col width="12" customWidth="1" min="10" max="10"/>
  </cols>
  <sheetData>
    <row r="1">
      <c r="A1" s="3" t="inlineStr">
        <is>
          <t>MY25 EV平台中控主机- 资产列表 Asset List</t>
        </is>
      </c>
    </row>
    <row r="3">
      <c r="A3" s="6" t="inlineStr">
        <is>
          <t>Asset Identification 资产识别</t>
        </is>
      </c>
      <c r="B3" s="7" t="n"/>
      <c r="C3" s="7" t="n"/>
      <c r="D3" s="7" t="n"/>
      <c r="E3" s="6" t="inlineStr">
        <is>
          <t>Cybersecurity Attributes 网络安全属性</t>
        </is>
      </c>
      <c r="F3" s="7" t="n"/>
      <c r="G3" s="7" t="n"/>
      <c r="H3" s="7" t="n"/>
      <c r="I3" s="7" t="n"/>
      <c r="J3" s="7" t="n"/>
    </row>
    <row r="4">
      <c r="A4" s="8" t="inlineStr">
        <is>
          <t>资产ID
Asset ID</t>
        </is>
      </c>
      <c r="B4" s="8" t="inlineStr">
        <is>
          <t>资产名称
Asset Name</t>
        </is>
      </c>
      <c r="C4" s="8" t="inlineStr">
        <is>
          <t>分类
Category</t>
        </is>
      </c>
      <c r="D4" s="8" t="inlineStr">
        <is>
          <t>备注
Remarks</t>
        </is>
      </c>
      <c r="E4" s="8" t="inlineStr">
        <is>
          <t>真实性
Authenticity</t>
        </is>
      </c>
      <c r="F4" s="8" t="inlineStr">
        <is>
          <t>完整性
Integrity</t>
        </is>
      </c>
      <c r="G4" s="8" t="inlineStr">
        <is>
          <t>不可抵赖性
Non-repudiation</t>
        </is>
      </c>
      <c r="H4" s="8" t="inlineStr">
        <is>
          <t>机密性
Confidentiality</t>
        </is>
      </c>
      <c r="I4" s="8" t="inlineStr">
        <is>
          <t>可用性
Availability</t>
        </is>
      </c>
      <c r="J4" s="8" t="inlineStr">
        <is>
          <t>权限
Authorization</t>
        </is>
      </c>
    </row>
    <row r="5">
      <c r="A5" s="9" t="inlineStr">
        <is>
          <t>P001</t>
        </is>
      </c>
      <c r="B5" s="9" t="inlineStr">
        <is>
          <t>SOC</t>
        </is>
      </c>
      <c r="C5" s="9" t="inlineStr">
        <is>
          <t>内部实体</t>
        </is>
      </c>
      <c r="D5" s="9" t="inlineStr">
        <is>
          <t>主处理器芯片，运行Android Automotive OS</t>
        </is>
      </c>
      <c r="E5" s="10" t="inlineStr">
        <is>
          <t>√</t>
        </is>
      </c>
      <c r="F5" s="10" t="inlineStr"/>
      <c r="G5" s="10" t="inlineStr"/>
      <c r="H5" s="10" t="inlineStr"/>
      <c r="I5" s="10" t="inlineStr">
        <is>
          <t>√</t>
        </is>
      </c>
      <c r="J5" s="10" t="inlineStr"/>
    </row>
    <row r="6">
      <c r="A6" s="9" t="inlineStr">
        <is>
          <t>P011</t>
        </is>
      </c>
      <c r="B6" s="9" t="inlineStr">
        <is>
          <t>媒体源</t>
        </is>
      </c>
      <c r="C6" s="9" t="inlineStr">
        <is>
          <t>固件及应用</t>
        </is>
      </c>
      <c r="D6" s="9" t="inlineStr">
        <is>
          <t>对媒体源的分析包括其本身的代码和相关的应用服务，负责接收视频及人脸信息，发送至存储单元</t>
        </is>
      </c>
      <c r="E6" s="10" t="inlineStr">
        <is>
          <t>√</t>
        </is>
      </c>
      <c r="F6" s="10" t="inlineStr">
        <is>
          <t>√</t>
        </is>
      </c>
      <c r="G6" s="10" t="inlineStr"/>
      <c r="H6" s="10" t="inlineStr"/>
      <c r="I6" s="10" t="inlineStr">
        <is>
          <t>√</t>
        </is>
      </c>
      <c r="J6" s="10" t="inlineStr"/>
    </row>
    <row r="7">
      <c r="A7" s="9" t="inlineStr">
        <is>
          <t>E014</t>
        </is>
      </c>
      <c r="B7" s="9" t="inlineStr">
        <is>
          <t>TBox</t>
        </is>
      </c>
      <c r="C7" s="9" t="inlineStr">
        <is>
          <t>外部实体</t>
        </is>
      </c>
      <c r="D7" s="9" t="inlineStr">
        <is>
          <t>与DiLink主机连接的外部设备</t>
        </is>
      </c>
      <c r="E7" s="10" t="inlineStr">
        <is>
          <t>√</t>
        </is>
      </c>
      <c r="F7" s="10" t="inlineStr"/>
      <c r="G7" s="10" t="inlineStr"/>
      <c r="H7" s="10" t="inlineStr"/>
      <c r="I7" s="10" t="inlineStr"/>
      <c r="J7" s="10" t="inlineStr"/>
    </row>
    <row r="8">
      <c r="A8" s="9" t="inlineStr">
        <is>
          <t>E009</t>
        </is>
      </c>
      <c r="B8" s="9" t="inlineStr">
        <is>
          <t>外置功放</t>
        </is>
      </c>
      <c r="C8" s="9" t="inlineStr">
        <is>
          <t>外部实体</t>
        </is>
      </c>
      <c r="D8" s="9" t="inlineStr">
        <is>
          <t>与DiLink主机连接的外部设备</t>
        </is>
      </c>
      <c r="E8" s="10" t="inlineStr">
        <is>
          <t>√</t>
        </is>
      </c>
      <c r="F8" s="10" t="inlineStr"/>
      <c r="G8" s="10" t="inlineStr"/>
      <c r="H8" s="10" t="inlineStr"/>
      <c r="I8" s="10" t="inlineStr"/>
      <c r="J8" s="10" t="inlineStr"/>
    </row>
    <row r="9">
      <c r="A9" s="9" t="inlineStr">
        <is>
          <t>E004</t>
        </is>
      </c>
      <c r="B9" s="9" t="inlineStr">
        <is>
          <t>以太网接口</t>
        </is>
      </c>
      <c r="C9" s="9" t="inlineStr">
        <is>
          <t>外部实体</t>
        </is>
      </c>
      <c r="D9" s="9" t="inlineStr">
        <is>
          <t>用于以太网通讯、调试、数据传输的接口</t>
        </is>
      </c>
      <c r="E9" s="10" t="inlineStr"/>
      <c r="F9" s="10" t="inlineStr"/>
      <c r="G9" s="10" t="inlineStr"/>
      <c r="H9" s="10" t="inlineStr"/>
      <c r="I9" s="10" t="inlineStr"/>
      <c r="J9" s="10" t="inlineStr">
        <is>
          <t>√</t>
        </is>
      </c>
    </row>
    <row r="10">
      <c r="A10" s="9" t="inlineStr">
        <is>
          <t>E005</t>
        </is>
      </c>
      <c r="B10" s="9" t="inlineStr">
        <is>
          <t>UART接口</t>
        </is>
      </c>
      <c r="C10" s="9" t="inlineStr">
        <is>
          <t>外部实体</t>
        </is>
      </c>
      <c r="D10" s="9" t="inlineStr">
        <is>
          <t>用于调试、通讯的接口</t>
        </is>
      </c>
      <c r="E10" s="10" t="inlineStr"/>
      <c r="F10" s="10" t="inlineStr"/>
      <c r="G10" s="10" t="inlineStr"/>
      <c r="H10" s="10" t="inlineStr"/>
      <c r="I10" s="10" t="inlineStr"/>
      <c r="J10" s="10" t="inlineStr">
        <is>
          <t>√</t>
        </is>
      </c>
    </row>
    <row r="11">
      <c r="A11" s="9" t="inlineStr">
        <is>
          <t>S005</t>
        </is>
      </c>
      <c r="B11" s="9" t="inlineStr">
        <is>
          <t>OTA升级包</t>
        </is>
      </c>
      <c r="C11" s="9" t="inlineStr">
        <is>
          <t>数据存储</t>
        </is>
      </c>
      <c r="D11" s="9" t="inlineStr">
        <is>
          <t>存储在DDR中</t>
        </is>
      </c>
      <c r="E11" s="10" t="inlineStr">
        <is>
          <t>√</t>
        </is>
      </c>
      <c r="F11" s="10" t="inlineStr">
        <is>
          <t>√</t>
        </is>
      </c>
      <c r="G11" s="10" t="inlineStr"/>
      <c r="H11" s="10" t="inlineStr">
        <is>
          <t>√</t>
        </is>
      </c>
      <c r="I11" s="10" t="inlineStr"/>
      <c r="J11" s="10" t="inlineStr">
        <is>
          <t>√</t>
        </is>
      </c>
    </row>
    <row r="12">
      <c r="A12" s="9" t="inlineStr">
        <is>
          <t>D006</t>
        </is>
      </c>
      <c r="B12" s="9" t="inlineStr">
        <is>
          <t>音频信息</t>
        </is>
      </c>
      <c r="C12" s="9" t="inlineStr">
        <is>
          <t>数据流</t>
        </is>
      </c>
      <c r="D12" s="9" t="inlineStr">
        <is>
          <t>MCU&lt;---&gt;音频输入输出模块</t>
        </is>
      </c>
      <c r="E12" s="10" t="inlineStr">
        <is>
          <t>√</t>
        </is>
      </c>
      <c r="F12" s="10" t="inlineStr">
        <is>
          <t>√</t>
        </is>
      </c>
      <c r="G12" s="10" t="inlineStr"/>
      <c r="H12" s="10" t="inlineStr">
        <is>
          <t>√</t>
        </is>
      </c>
      <c r="I12" s="10" t="inlineStr"/>
      <c r="J12" s="10" t="inlineStr"/>
    </row>
    <row r="13">
      <c r="A13" s="9" t="inlineStr">
        <is>
          <t>A-009</t>
        </is>
      </c>
      <c r="B13" s="9" t="inlineStr">
        <is>
          <t>系统固件</t>
        </is>
      </c>
      <c r="C13" s="9" t="inlineStr">
        <is>
          <t>固件及应用</t>
        </is>
      </c>
      <c r="D13" s="9" t="inlineStr">
        <is>
          <t>Bootloader、TF-A、TEE OS等</t>
        </is>
      </c>
      <c r="E13" s="10" t="inlineStr"/>
      <c r="F13" s="10" t="inlineStr">
        <is>
          <t>√</t>
        </is>
      </c>
      <c r="G13" s="10" t="inlineStr">
        <is>
          <t>√</t>
        </is>
      </c>
      <c r="H13" s="10" t="inlineStr"/>
      <c r="I13" s="10" t="inlineStr">
        <is>
          <t>√</t>
        </is>
      </c>
      <c r="J13" s="10" t="inlineStr"/>
    </row>
  </sheetData>
  <mergeCells count="3">
    <mergeCell ref="A1:J1"/>
    <mergeCell ref="A3:D3"/>
    <mergeCell ref="E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3" t="inlineStr">
        <is>
          <t>MY25 EV平台中控主机- 数据流图 Data Flow Diagram</t>
        </is>
      </c>
    </row>
    <row r="3">
      <c r="A3" s="11" t="inlineStr">
        <is>
          <t xml:space="preserve">
┌────────────────────────────────────────────────────────────────────────┐
│                              系统边界                                    │
│  ┌──────────────┐      ┌──────────────┐      ┌──────────────┐         │
│  │   外部接口    │ ───► │   核心处理   │ ───► │   内部通信   │         │
│  │ (WiFi/BT/4G) │ ◄─── │   (SOC/MCU)  │ ◄─── │  (CAN/ETH)   │         │
│  └──────────────┘      └──────────────┘      └──────────────┘         │
│         │                     │                     │                  │
│         ▼                     ▼                     ▼                  │
│  ┌──────────────┐      ┌──────────────┐      ┌──────────────┐         │
│  │   数据存储    │      │   安全模块   │      │   车身控制   │         │
│  │  (ROM/RAM)   │      │   (HSM/SE)   │      │   (BCM等)    │         │
│  └──────────────┘      └──────────────┘      └──────────────┘         │
└────────────────────────────────────────────────────────────────────────┘
</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3">
      <c r="A43" s="12" t="inlineStr">
        <is>
          <t>资产接口列表 Asset Interface List</t>
        </is>
      </c>
    </row>
  </sheetData>
  <mergeCells count="3">
    <mergeCell ref="A1:I1"/>
    <mergeCell ref="A3:I40"/>
    <mergeCell ref="A43:I4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100" customWidth="1" min="1" max="1"/>
  </cols>
  <sheetData>
    <row r="1">
      <c r="A1" s="3" t="inlineStr">
        <is>
          <t>MY25 EV平台中控主机 - 攻击树分析 Attack Tree Analysis</t>
        </is>
      </c>
    </row>
    <row r="3">
      <c r="A3" s="12" t="inlineStr">
        <is>
          <t>攻击树1 Attack Tree 1: 远程入侵IVI系统 Remote Compromise of IVI System</t>
        </is>
      </c>
    </row>
    <row r="4">
      <c r="A4" s="13" t="inlineStr">
        <is>
          <t xml:space="preserve">
                        ┌────────────────────────────────────┐
                        │     远程入侵IVI系统                  │
                        │   Remote Compromise of IVI         │
                        └───────────────┬────────────────────┘
                                        │
              ┌─────────────────────────┼─────────────────────────┐
              │                         │                         │
      ┌───────┴───────┐         ┌───────┴───────┐         ┌───────┴───────┐
      │  网络攻击入口  │         │  无线接口入口  │         │  云端服务入口  │
      │ Network Entry │         │ Wireless Entry│         │  Cloud Entry  │
      └───────────────┘         └───────────────┘         └───────────────┘
</t>
        </is>
      </c>
    </row>
    <row r="5"/>
    <row r="6"/>
    <row r="7"/>
    <row r="8"/>
    <row r="9"/>
    <row r="10"/>
    <row r="11"/>
    <row r="12"/>
    <row r="13"/>
    <row r="14"/>
    <row r="15"/>
    <row r="16"/>
    <row r="17"/>
    <row r="18"/>
    <row r="19"/>
    <row r="20"/>
    <row r="21"/>
    <row r="22"/>
  </sheetData>
  <mergeCells count="3">
    <mergeCell ref="A3:F3"/>
    <mergeCell ref="A4:F2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N21"/>
  <sheetViews>
    <sheetView workbookViewId="0">
      <pane ySplit="5" topLeftCell="A6" activePane="bottomLeft" state="frozen"/>
      <selection pane="bottomLeft" activeCell="A1" sqref="A1"/>
    </sheetView>
  </sheetViews>
  <sheetFormatPr baseColWidth="8" defaultRowHeight="15"/>
  <cols>
    <col width="8" customWidth="1" min="1" max="1"/>
    <col width="12" customWidth="1" min="2" max="2"/>
    <col width="10" customWidth="1" min="3" max="3"/>
    <col width="13" customWidth="1" min="4" max="4"/>
    <col width="13" customWidth="1" min="5" max="5"/>
    <col width="14.9" customWidth="1" min="6" max="6"/>
    <col width="27" customWidth="1" min="7" max="7"/>
    <col width="12.3" customWidth="1" min="8" max="8"/>
    <col width="53.9" customWidth="1" min="9" max="9"/>
    <col width="82.3" customWidth="1" min="10" max="10"/>
    <col width="10" customWidth="1" min="11" max="11"/>
    <col width="13" customWidth="1" min="12" max="12"/>
    <col width="7.6" customWidth="1" min="13" max="13"/>
    <col width="10" customWidth="1" min="14" max="14"/>
    <col width="7.7" customWidth="1" min="15" max="15"/>
    <col width="10" customWidth="1" min="16" max="16"/>
    <col width="8" customWidth="1" min="17" max="17"/>
    <col width="10" customWidth="1" min="18" max="18"/>
    <col width="7.9" customWidth="1" min="19" max="19"/>
    <col width="8" customWidth="1" min="20" max="20"/>
    <col width="10" customWidth="1" min="21" max="21"/>
    <col width="14" customWidth="1" min="22" max="22"/>
    <col width="18" customWidth="1" min="23" max="23"/>
    <col width="6" customWidth="1" min="24" max="24"/>
    <col width="14" customWidth="1" min="25" max="25"/>
    <col width="28" customWidth="1" min="26" max="26"/>
    <col width="6" customWidth="1" min="27" max="27"/>
    <col width="14" customWidth="1" min="28" max="28"/>
    <col width="12" customWidth="1" min="29" max="29"/>
    <col width="6" customWidth="1" min="30" max="30"/>
    <col width="14" customWidth="1" min="31" max="31"/>
    <col width="23.7" customWidth="1" min="32" max="32"/>
    <col width="6" customWidth="1" min="33" max="33"/>
    <col width="8" customWidth="1" min="34" max="34"/>
    <col width="10" customWidth="1" min="35" max="35"/>
    <col width="13" customWidth="1" min="36" max="36"/>
    <col width="12" customWidth="1" min="37" max="37"/>
    <col width="18" customWidth="1" min="38" max="38"/>
    <col width="25" customWidth="1" min="39" max="39"/>
    <col width="12" customWidth="1" min="40" max="40"/>
  </cols>
  <sheetData>
    <row r="1">
      <c r="A1" s="3" t="inlineStr">
        <is>
          <t>MY25 EV平台中控主机_TARA分析结果 TARA Analysis Results</t>
        </is>
      </c>
    </row>
    <row r="3">
      <c r="A3" s="6" t="inlineStr">
        <is>
          <t>Asset Identification资产识别</t>
        </is>
      </c>
      <c r="B3" s="7" t="n"/>
      <c r="C3" s="7" t="n"/>
      <c r="D3" s="7" t="n"/>
      <c r="E3" s="7" t="n"/>
      <c r="F3" s="7" t="n"/>
      <c r="G3" s="6" t="inlineStr">
        <is>
          <t>Threat &amp; Damage Scenario
威胁&amp;损害场景</t>
        </is>
      </c>
      <c r="H3" s="7" t="n"/>
      <c r="I3" s="7" t="n"/>
      <c r="J3" s="7" t="n"/>
      <c r="K3" s="7" t="n"/>
      <c r="L3" s="6" t="inlineStr">
        <is>
          <t>Threat Analysis
威胁分析</t>
        </is>
      </c>
      <c r="M3" s="7" t="n"/>
      <c r="N3" s="7" t="n"/>
      <c r="O3" s="7" t="n"/>
      <c r="P3" s="7" t="n"/>
      <c r="Q3" s="7" t="n"/>
      <c r="R3" s="7" t="n"/>
      <c r="S3" s="7" t="n"/>
      <c r="T3" s="7" t="n"/>
      <c r="U3" s="7" t="n"/>
      <c r="V3" s="6" t="inlineStr">
        <is>
          <t>Impact Analysis
影响分析</t>
        </is>
      </c>
      <c r="W3" s="7" t="n"/>
      <c r="X3" s="7" t="n"/>
      <c r="Y3" s="7" t="n"/>
      <c r="Z3" s="7" t="n"/>
      <c r="AA3" s="7" t="n"/>
      <c r="AB3" s="7" t="n"/>
      <c r="AC3" s="7" t="n"/>
      <c r="AD3" s="7" t="n"/>
      <c r="AE3" s="7" t="n"/>
      <c r="AF3" s="7" t="n"/>
      <c r="AG3" s="7" t="n"/>
      <c r="AH3" s="7" t="n"/>
      <c r="AI3" s="7" t="n"/>
      <c r="AJ3" s="6" t="inlineStr">
        <is>
          <t>Risk Assessment
风险评估</t>
        </is>
      </c>
      <c r="AK3" s="6" t="inlineStr">
        <is>
          <t>Risk Treatment
风险处置</t>
        </is>
      </c>
      <c r="AL3" s="6" t="inlineStr">
        <is>
          <t>Risk Mitigation
风险缓解</t>
        </is>
      </c>
      <c r="AM3" s="7" t="n"/>
      <c r="AN3" s="7" t="n"/>
    </row>
    <row r="4">
      <c r="A4" s="8" t="inlineStr">
        <is>
          <t>Asset | ID
资产ID</t>
        </is>
      </c>
      <c r="B4" s="8" t="inlineStr">
        <is>
          <t>Asset Name
资产名称</t>
        </is>
      </c>
      <c r="C4" s="8" t="inlineStr">
        <is>
          <t>细分类</t>
        </is>
      </c>
      <c r="D4" s="7" t="n"/>
      <c r="E4" s="7" t="n"/>
      <c r="F4" s="8" t="inlineStr">
        <is>
          <t>Category
分类</t>
        </is>
      </c>
      <c r="G4" s="8" t="inlineStr">
        <is>
          <t>Security Attributes
安全属性</t>
        </is>
      </c>
      <c r="H4" s="8" t="inlineStr">
        <is>
          <t>STRIDE Model
STRIDE模型</t>
        </is>
      </c>
      <c r="I4" s="8" t="inlineStr">
        <is>
          <t>Potential Threat and Damage Scenario
潜在威胁和损害场景</t>
        </is>
      </c>
      <c r="J4" s="8" t="inlineStr">
        <is>
          <t>Attack Path
攻击路径</t>
        </is>
      </c>
      <c r="K4" s="8" t="inlineStr">
        <is>
          <t xml:space="preserve">来源
</t>
        </is>
      </c>
      <c r="L4" s="8" t="inlineStr">
        <is>
          <t>Attack Vector(V)
攻击向量</t>
        </is>
      </c>
      <c r="M4" s="7" t="n"/>
      <c r="N4" s="8" t="inlineStr">
        <is>
          <t>Attack Complexity(C)
攻击复杂度</t>
        </is>
      </c>
      <c r="O4" s="7" t="n"/>
      <c r="P4" s="8" t="inlineStr">
        <is>
          <t>Privileges Required(P)
权限要求</t>
        </is>
      </c>
      <c r="Q4" s="7" t="n"/>
      <c r="R4" s="8" t="inlineStr">
        <is>
          <t>User Interaction(U)
用户交互</t>
        </is>
      </c>
      <c r="S4" s="7" t="n"/>
      <c r="T4" s="8" t="inlineStr">
        <is>
          <t>Attack Feasibility
攻击可行性计算</t>
        </is>
      </c>
      <c r="U4" s="7" t="n"/>
      <c r="V4" s="8" t="inlineStr">
        <is>
          <t>Safety
安全</t>
        </is>
      </c>
      <c r="W4" s="7" t="n"/>
      <c r="X4" s="7" t="n"/>
      <c r="Y4" s="8" t="inlineStr">
        <is>
          <t>Financial
经济</t>
        </is>
      </c>
      <c r="Z4" s="7" t="n"/>
      <c r="AA4" s="7" t="n"/>
      <c r="AB4" s="8" t="inlineStr">
        <is>
          <t>Operational
操作</t>
        </is>
      </c>
      <c r="AC4" s="7" t="n"/>
      <c r="AD4" s="7" t="n"/>
      <c r="AE4" s="8" t="inlineStr">
        <is>
          <t>Privacy &amp; Legislation
隐私和法律</t>
        </is>
      </c>
      <c r="AF4" s="7" t="n"/>
      <c r="AG4" s="7" t="n"/>
      <c r="AH4" s="8" t="inlineStr">
        <is>
          <t>Impact Level Calculation
影响等级计算</t>
        </is>
      </c>
      <c r="AI4" s="7" t="n"/>
      <c r="AJ4" s="8" t="inlineStr">
        <is>
          <t>Risk Level
风险等级</t>
        </is>
      </c>
      <c r="AK4" s="8" t="inlineStr">
        <is>
          <t>Risk Treatment Decision
风险处置决策</t>
        </is>
      </c>
      <c r="AL4" s="8" t="inlineStr">
        <is>
          <t>Security Goal
安全目标</t>
        </is>
      </c>
      <c r="AM4" s="8" t="inlineStr">
        <is>
          <t>Security Requirement
安全需求</t>
        </is>
      </c>
      <c r="AN4" s="8" t="inlineStr">
        <is>
          <t xml:space="preserve">Source来源
</t>
        </is>
      </c>
    </row>
    <row r="5">
      <c r="A5" s="7" t="n"/>
      <c r="B5" s="7" t="n"/>
      <c r="C5" s="14" t="inlineStr">
        <is>
          <t>子领域一</t>
        </is>
      </c>
      <c r="D5" s="14" t="inlineStr">
        <is>
          <t>子领域二</t>
        </is>
      </c>
      <c r="E5" s="14" t="inlineStr">
        <is>
          <t>子领域三</t>
        </is>
      </c>
      <c r="F5" s="7" t="n"/>
      <c r="G5" s="7" t="n"/>
      <c r="H5" s="7" t="n"/>
      <c r="I5" s="7" t="n"/>
      <c r="J5" s="7" t="n"/>
      <c r="K5" s="14" t="inlineStr">
        <is>
          <t>WP29威胁映射</t>
        </is>
      </c>
      <c r="L5" s="14" t="inlineStr">
        <is>
          <t>Time
内容</t>
        </is>
      </c>
      <c r="M5" s="14" t="inlineStr">
        <is>
          <t>Value
指标值</t>
        </is>
      </c>
      <c r="N5" s="14" t="inlineStr">
        <is>
          <t>Content
内容</t>
        </is>
      </c>
      <c r="O5" s="14" t="inlineStr">
        <is>
          <t>Value
指标值</t>
        </is>
      </c>
      <c r="P5" s="14" t="inlineStr">
        <is>
          <t>Level
等级</t>
        </is>
      </c>
      <c r="Q5" s="14" t="inlineStr">
        <is>
          <t>Value
指标值</t>
        </is>
      </c>
      <c r="R5" s="14" t="inlineStr">
        <is>
          <t>Level
等级</t>
        </is>
      </c>
      <c r="S5" s="14" t="inlineStr">
        <is>
          <t>Value
指标值</t>
        </is>
      </c>
      <c r="T5" s="14" t="inlineStr">
        <is>
          <t>Calculation
计算值</t>
        </is>
      </c>
      <c r="U5" s="14" t="inlineStr">
        <is>
          <t>Level
等级</t>
        </is>
      </c>
      <c r="V5" s="14" t="inlineStr">
        <is>
          <t>Content
内容</t>
        </is>
      </c>
      <c r="W5" s="14" t="inlineStr">
        <is>
          <t>Notes
注释</t>
        </is>
      </c>
      <c r="X5" s="14" t="inlineStr">
        <is>
          <t>Value
指标值</t>
        </is>
      </c>
      <c r="Y5" s="14" t="inlineStr">
        <is>
          <t>Content
内容</t>
        </is>
      </c>
      <c r="Z5" s="14" t="inlineStr">
        <is>
          <t>Notes
注释</t>
        </is>
      </c>
      <c r="AA5" s="14" t="inlineStr">
        <is>
          <t>Value
指标值</t>
        </is>
      </c>
      <c r="AB5" s="14" t="inlineStr">
        <is>
          <t>Content
内容</t>
        </is>
      </c>
      <c r="AC5" s="14" t="inlineStr">
        <is>
          <t>Notes
注释</t>
        </is>
      </c>
      <c r="AD5" s="14" t="inlineStr">
        <is>
          <t>Value
指标值</t>
        </is>
      </c>
      <c r="AE5" s="14" t="inlineStr">
        <is>
          <t>Content
内容</t>
        </is>
      </c>
      <c r="AF5" s="14" t="inlineStr">
        <is>
          <t>Notes
注释</t>
        </is>
      </c>
      <c r="AG5" s="14" t="inlineStr">
        <is>
          <t>Value
指标值</t>
        </is>
      </c>
      <c r="AH5" s="14" t="inlineStr">
        <is>
          <t>Impact Calc
影响计算</t>
        </is>
      </c>
      <c r="AI5" s="14" t="inlineStr">
        <is>
          <t>Impact Level
影响等级</t>
        </is>
      </c>
      <c r="AJ5" s="7" t="n"/>
      <c r="AK5" s="7" t="n"/>
      <c r="AL5" s="7" t="n"/>
      <c r="AM5" s="7" t="n"/>
      <c r="AN5" s="14" t="inlineStr">
        <is>
          <t>WP29 Control Mapping</t>
        </is>
      </c>
    </row>
    <row r="6">
      <c r="A6" s="9" t="inlineStr">
        <is>
          <t>P001</t>
        </is>
      </c>
      <c r="B6" s="9" t="inlineStr">
        <is>
          <t>车载多媒体</t>
        </is>
      </c>
      <c r="C6" s="10" t="inlineStr">
        <is>
          <t>系统实体</t>
        </is>
      </c>
      <c r="D6" s="10" t="inlineStr">
        <is>
          <t>N/A</t>
        </is>
      </c>
      <c r="E6" s="10" t="inlineStr">
        <is>
          <t>SOC</t>
        </is>
      </c>
      <c r="F6" s="10" t="inlineStr">
        <is>
          <t>内部实体</t>
        </is>
      </c>
      <c r="G6" s="10" t="inlineStr">
        <is>
          <t>"Authenticity | 真实性"</t>
        </is>
      </c>
      <c r="H6" s="10" t="inlineStr">
        <is>
          <t>S欺骗</t>
        </is>
      </c>
      <c r="I6" s="10" t="inlineStr">
        <is>
          <t>黑客仿冒、篡改SOC模块，导致零部件内部所有与SOC关联的模块无法接收真实的信息正常完成功能，甚至会使攻击者成功通过重要身份认证，造成安全隐患</t>
        </is>
      </c>
      <c r="J6" s="10" t="inlineStr">
        <is>
          <t>1.攻击者锁定待攻击车辆，通过物理拆解取得芯片，并进行调查，了解芯片的物理结构、通讯协议等相关信息。
2.通过观察寻找芯片可读丝印，或进行X光扫描，寻找可进</t>
        </is>
      </c>
      <c r="K6" s="10" t="inlineStr">
        <is>
          <t xml:space="preserve">4.1
5.1
6.1
6.2
6.3
</t>
        </is>
      </c>
      <c r="L6" s="10" t="inlineStr">
        <is>
          <t>本地</t>
        </is>
      </c>
      <c r="M6" s="10">
        <f>IF(L6="网络",0.85,IF(L6="邻居",0.62,IF(L6="本地",0.55,IF(L6="物理",0.2))))</f>
        <v/>
      </c>
      <c r="N6" s="10" t="inlineStr">
        <is>
          <t>低</t>
        </is>
      </c>
      <c r="O6" s="10">
        <f>IF(N6="低",0.77,IF(N6="高",0.44))</f>
        <v/>
      </c>
      <c r="P6" s="10" t="inlineStr">
        <is>
          <t>低</t>
        </is>
      </c>
      <c r="Q6" s="10">
        <f>IF(P6="无",0.85,IF(P6="低",0.62,IF(P6="高",0.27)))</f>
        <v/>
      </c>
      <c r="R6" s="10" t="inlineStr">
        <is>
          <t>不需要</t>
        </is>
      </c>
      <c r="S6" s="10">
        <f>IF(R6="不需要",0.85,IF(R6="需要",0.62))</f>
        <v/>
      </c>
      <c r="T6" s="10">
        <f>8.22*M6*O6*Q6*S6</f>
        <v/>
      </c>
      <c r="U6" s="10">
        <f>IF(T6&lt;=1.05,"很低",IF(T6&lt;=1.99,"低",IF(T6&lt;=2.95,"中",IF(T6&lt;=3.89,"高"))))</f>
        <v/>
      </c>
      <c r="V6" s="10" t="inlineStr">
        <is>
          <t>中等的</t>
        </is>
      </c>
      <c r="W6" s="10">
        <f>IF(V6="可忽略不计的","没有受伤",IF(V6="中等的","轻度和中度伤害",IF(V6="重大的","重伤和生命危险（可能幸存）",IF(V6="严重的","威胁生命的伤害（尚不确定生存），致命伤害"))))</f>
        <v/>
      </c>
      <c r="X6" s="10">
        <f>IF(V6="可忽略不计的",0,IF(V6="中等的",10,IF(V6="重大的",100,IF(V6="严重的",1000))))</f>
        <v/>
      </c>
      <c r="Y6" s="10" t="inlineStr">
        <is>
          <t>中等的</t>
        </is>
      </c>
      <c r="Z6" s="10">
        <f>IF(Y6="可忽略不计的","财务损失不会产生任何影响，可忽略给后果或与利益相关者无关",IF(Y6="中等的","经济损失会带来不便的后果，受影响的利益相关者将能够用有限的资源来克服这些后果",IF(Y6="重大的","经济损失导致重大后果，受影响的利益相关者将能够克服",IF(Y6="严重的","经济损失导致灾难性后果，受影响的利益相关者可能无法克服"))))</f>
        <v/>
      </c>
      <c r="AA6" s="10">
        <f>IF(Y6="可忽略不计的",0,IF(Y6="中等的","10",IF(Y6="重大的",100,IF(Y6="严重的",1000))))</f>
        <v/>
      </c>
      <c r="AB6" s="10" t="inlineStr">
        <is>
          <t>重大的</t>
        </is>
      </c>
      <c r="AC6" s="10">
        <f>IF(AB6="可忽略不计的","操作损坏不会导致车辆功能或性能下降，也不会导致性能下降",IF(AB6="中等的","操作损坏会导致车辆功能或性能的部分下降",IF(AB6="重大的","操作损坏导致车辆功能丧失",IF(AB6="严重的","操作损坏导致车辆从不希望的运行到无法运行的所有车辆不工作"))))</f>
        <v/>
      </c>
      <c r="AD6" s="10">
        <f>IF(AB6="可忽略不计的",0,IF(AB6="中等的",1,IF(AB6="重大的",10,IF(AB6="严重的",100))))</f>
        <v/>
      </c>
      <c r="AE6" s="10" t="inlineStr">
        <is>
          <t>可忽略不计的</t>
        </is>
      </c>
      <c r="AF6" s="10">
        <f>IF(AE6="可忽略不计的","隐私危害不会产生任何影响,也不会给道路使用者带来不便",IF(AE6="中等的","隐私危害给道路使用者带来极大的不便",IF(AE6="重大的","隐私危害会严重影响道路使用者",IF(AE6="严重的","隐私危害对道路使用者造成重大甚至不可逆转的影响"))))</f>
        <v/>
      </c>
      <c r="AG6" s="10">
        <f>IF(AE6="可忽略不计的",0,IF(AE6="中等的",1,IF(AE6="重大的",10,IF(AE6="严重的",100))))</f>
        <v/>
      </c>
      <c r="AH6" s="10">
        <f>SUM(X6+AA6+AD6+AG6)</f>
        <v/>
      </c>
      <c r="AI6" s="10">
        <f>IF(AH6&gt;=1000,"严重的",IF(AH6&gt;=100,"重大的",IF(AH6&gt;=20,"中等的",IF(AH6&gt;=10,"微不足道","无影响"))))</f>
        <v/>
      </c>
      <c r="AJ6" s="10">
        <f>IF(AND(AI6="无影响",U6="无"),"QM",IF(AND(AI6="无影响",U6="很低"),"QM",IF(AND(AI6="无影响",U6="低"),"QM",IF(AND(AI6="无影响",U6="中"),"QM",IF(AND(AI6="无影响",U6="高"),"Low",IF(AND(AI6="微不足道",U6="无"),"QM",IF(AND(AI6="微不足道",U6="很低"),"Low",IF(AND(AI6="微不足道",U6="低"),"Low",IF(AND(AI6="微不足道",U6="中"),"Low",IF(AND(AI6="微不足道",U6="高"),"Medium",IF(AND(AI6="中等的",U6="无"),"QM",IF(AND(AI6="中等的",U6="很低"),"Low",IF(AND(AI6="中等的",U6="低"),"Medium",IF(AND(AI6="中等的",U6="中"),"Medium",IF(AND(AI6="中等的",U6="高"),"High",IF(AND(AI6="重大的",U6="无"),"QM",IF(AND(AI6="重大的",U6="很低"),"Low",IF(AND(AI6="重大的",U6="低"),"Medium",IF(AND(AI6="重大的",U6="中"),"High",IF(AND(AI6="重大的",U6="高"),"High",IF(AND(AI6="严重的",U6="无"),"Low",IF(AND(AI6="严重的",U6="很低"),"Medium",IF(AND(AI6="严重的",U6="低"),"High",IF(AND(AI6="严重的",U6="中"),"High",IF(AND(AI6="严重的",U6="高"),"Critical")))))))))))))))))))))))))</f>
        <v/>
      </c>
      <c r="AK6" s="10">
        <f>IF(OR(AJ6="QM",AJ6="Low"),"保留风险",IF(OR(AJ6="Medium",AJ6="Critical",AJ6="High"),"降低风险","保留风险"))</f>
        <v/>
      </c>
      <c r="AL6" s="10">
        <f>IF(AK6="保留风险","/",IF(OR(AK6="降低风险",AK6="转移风险",AK6="消除风险"),"应保护"&amp;E6&amp;"的"&amp;G6,"NA"))</f>
        <v/>
      </c>
      <c r="AM6" s="10" t="inlineStr">
        <is>
          <t>1.应确保操作系统启动时应使用可信机制，在验证操作系统签名并判定通过后，再从可信存储区域加载操作系统，避免加载被算改的操作系统</t>
        </is>
      </c>
      <c r="AN6" s="10">
        <f>IF(H6="T篡改","M10",IF(H6="D拒绝服务","M13",IF(H6="I信息泄露","M12"&amp;CHAR(10)&amp;"M24",IF(H6="S欺骗","M10"&amp;CHAR(10)&amp;"M11",IF(H6="E权限提升","M8"&amp;CHAR(10)&amp;"M9",IF(H6="R抵赖","M9"&amp;CHAR(10)&amp;"M10"))))))</f>
        <v/>
      </c>
    </row>
    <row r="7">
      <c r="A7" s="9" t="inlineStr"/>
      <c r="B7" s="9" t="inlineStr"/>
      <c r="C7" s="10" t="inlineStr"/>
      <c r="D7" s="10" t="inlineStr"/>
      <c r="E7" s="10" t="inlineStr">
        <is>
          <t>SOC</t>
        </is>
      </c>
      <c r="F7" s="10" t="inlineStr"/>
      <c r="G7" s="10" t="inlineStr">
        <is>
          <t>"Availability | 可用性"</t>
        </is>
      </c>
      <c r="H7" s="10" t="inlineStr">
        <is>
          <t>D拒绝服务</t>
        </is>
      </c>
      <c r="I7" s="10" t="inlineStr">
        <is>
          <t>黑客通过超载SOC模块的处理能力或发送大量无效请求，造成SOC模块过载，导致车辆系统崩溃或无响应，导致无法向零部件模块接收或传递数据，功能无法正常通过系统使用。</t>
        </is>
      </c>
      <c r="J7" s="10" t="inlineStr">
        <is>
          <t>1.攻击者通过物理手段（如高温、高压、电磁辐射等）对MCU进行破坏，
2.损坏硬件组件或改变电子状态，导致SOC无法继续工作。</t>
        </is>
      </c>
      <c r="K7" s="10" t="inlineStr">
        <is>
          <t>24.1
8.1</t>
        </is>
      </c>
      <c r="L7" s="10" t="inlineStr">
        <is>
          <t>本地</t>
        </is>
      </c>
      <c r="M7" s="10">
        <f>IF(L7="网络",0.85,IF(L7="邻居",0.62,IF(L7="本地",0.55,IF(L7="物理",0.2))))</f>
        <v/>
      </c>
      <c r="N7" s="10" t="inlineStr">
        <is>
          <t>低</t>
        </is>
      </c>
      <c r="O7" s="10">
        <f>IF(N7="低",0.77,IF(N7="高",0.44))</f>
        <v/>
      </c>
      <c r="P7" s="10" t="inlineStr">
        <is>
          <t>低</t>
        </is>
      </c>
      <c r="Q7" s="10">
        <f>IF(P7="无",0.85,IF(P7="低",0.62,IF(P7="高",0.27)))</f>
        <v/>
      </c>
      <c r="R7" s="10" t="inlineStr">
        <is>
          <t>不需要</t>
        </is>
      </c>
      <c r="S7" s="10">
        <f>IF(R7="不需要",0.85,IF(R7="需要",0.62))</f>
        <v/>
      </c>
      <c r="T7" s="10">
        <f>8.22*M7*O7*Q7*S7</f>
        <v/>
      </c>
      <c r="U7" s="10">
        <f>IF(T7&lt;=1.05,"很低",IF(T7&lt;=1.99,"低",IF(T7&lt;=2.95,"中",IF(T7&lt;=3.89,"高"))))</f>
        <v/>
      </c>
      <c r="V7" s="10" t="inlineStr">
        <is>
          <t>可忽略不计的</t>
        </is>
      </c>
      <c r="W7" s="10">
        <f>IF(V7="可忽略不计的","没有受伤",IF(V7="中等的","轻度和中度伤害",IF(V7="重大的","重伤和生命危险（可能幸存）",IF(V7="严重的","威胁生命的伤害（尚不确定生存），致命伤害"))))</f>
        <v/>
      </c>
      <c r="X7" s="10">
        <f>IF(V7="可忽略不计的",0,IF(V7="中等的",10,IF(V7="重大的",100,IF(V7="严重的",1000))))</f>
        <v/>
      </c>
      <c r="Y7" s="10" t="inlineStr">
        <is>
          <t>中等的</t>
        </is>
      </c>
      <c r="Z7" s="10">
        <f>IF(Y7="可忽略不计的","财务损失不会产生任何影响，可忽略给后果或与利益相关者无关",IF(Y7="中等的","经济损失会带来不便的后果，受影响的利益相关者将能够用有限的资源来克服这些后果",IF(Y7="重大的","经济损失导致重大后果，受影响的利益相关者将能够克服",IF(Y7="严重的","经济损失导致灾难性后果，受影响的利益相关者可能无法克服"))))</f>
        <v/>
      </c>
      <c r="AA7" s="10">
        <f>IF(Y7="可忽略不计的",0,IF(Y7="中等的","10",IF(Y7="重大的",100,IF(Y7="严重的",1000))))</f>
        <v/>
      </c>
      <c r="AB7" s="10" t="inlineStr">
        <is>
          <t>重大的</t>
        </is>
      </c>
      <c r="AC7" s="10">
        <f>IF(AB7="可忽略不计的","操作损坏不会导致车辆功能或性能下降，也不会导致性能下降",IF(AB7="中等的","操作损坏会导致车辆功能或性能的部分下降",IF(AB7="重大的","操作损坏导致车辆功能丧失",IF(AB7="严重的","操作损坏导致车辆从不希望的运行到无法运行的所有车辆不工作"))))</f>
        <v/>
      </c>
      <c r="AD7" s="10">
        <f>IF(AB7="可忽略不计的",0,IF(AB7="中等的",1,IF(AB7="重大的",10,IF(AB7="严重的",100))))</f>
        <v/>
      </c>
      <c r="AE7" s="10" t="inlineStr">
        <is>
          <t>可忽略不计的</t>
        </is>
      </c>
      <c r="AF7" s="10">
        <f>IF(AE7="可忽略不计的","隐私危害不会产生任何影响,也不会给道路使用者带来不便",IF(AE7="中等的","隐私危害给道路使用者带来极大的不便",IF(AE7="重大的","隐私危害会严重影响道路使用者",IF(AE7="严重的","隐私危害对道路使用者造成重大甚至不可逆转的影响"))))</f>
        <v/>
      </c>
      <c r="AG7" s="10">
        <f>IF(AE7="可忽略不计的",0,IF(AE7="中等的",1,IF(AE7="重大的",10,IF(AE7="严重的",100))))</f>
        <v/>
      </c>
      <c r="AH7" s="10">
        <f>SUM(X7+AA7+AD7+AG7)</f>
        <v/>
      </c>
      <c r="AI7" s="10">
        <f>IF(AH7&gt;=1000,"严重的",IF(AH7&gt;=100,"重大的",IF(AH7&gt;=20,"中等的",IF(AH7&gt;=10,"微不足道","无影响"))))</f>
        <v/>
      </c>
      <c r="AJ7" s="10">
        <f>IF(AND(AI7="无影响",U7="无"),"QM",IF(AND(AI7="无影响",U7="很低"),"QM",IF(AND(AI7="无影响",U7="低"),"QM",IF(AND(AI7="无影响",U7="中"),"QM",IF(AND(AI7="无影响",U7="高"),"Low",IF(AND(AI7="微不足道",U7="无"),"QM",IF(AND(AI7="微不足道",U7="很低"),"Low",IF(AND(AI7="微不足道",U7="低"),"Low",IF(AND(AI7="微不足道",U7="中"),"Low",IF(AND(AI7="微不足道",U7="高"),"Medium",IF(AND(AI7="中等的",U7="无"),"QM",IF(AND(AI7="中等的",U7="很低"),"Low",IF(AND(AI7="中等的",U7="低"),"Medium",IF(AND(AI7="中等的",U7="中"),"Medium",IF(AND(AI7="中等的",U7="高"),"High",IF(AND(AI7="重大的",U7="无"),"QM",IF(AND(AI7="重大的",U7="很低"),"Low",IF(AND(AI7="重大的",U7="低"),"Medium",IF(AND(AI7="重大的",U7="中"),"High",IF(AND(AI7="重大的",U7="高"),"High",IF(AND(AI7="严重的",U7="无"),"Low",IF(AND(AI7="严重的",U7="很低"),"Medium",IF(AND(AI7="严重的",U7="低"),"High",IF(AND(AI7="严重的",U7="中"),"High",IF(AND(AI7="严重的",U7="高"),"Critical")))))))))))))))))))))))))</f>
        <v/>
      </c>
      <c r="AK7" s="10">
        <f>IF(OR(AJ7="QM",AJ7="Low"),"保留风险",IF(OR(AJ7="Medium",AJ7="Critical",AJ7="High"),"降低风险","保留风险"))</f>
        <v/>
      </c>
      <c r="AL7" s="10">
        <f>IF(AK7="保留风险","/",IF(OR(AK7="降低风险",AK7="转移风险",AK7="消除风险"),"应保护"&amp;E7&amp;"的"&amp;G7,"NA"))</f>
        <v/>
      </c>
      <c r="AM7" s="10" t="inlineStr">
        <is>
          <t>1、操作系统应裁剪掉不需要的组件与原生apk应用，如不对量产开放的开发工具等，以防止不必要的资源占用并防止攻击者利用开发工具恶意破坏系统</t>
        </is>
      </c>
      <c r="AN7" s="10">
        <f>IF(H7="T篡改","M10",IF(H7="D拒绝服务","M13",IF(H7="I信息泄露","M12"&amp;CHAR(10)&amp;"M24",IF(H7="S欺骗","M10"&amp;CHAR(10)&amp;"M11",IF(H7="E权限提升","M8"&amp;CHAR(10)&amp;"M9",IF(H7="R抵赖","M9"&amp;CHAR(10)&amp;"M10"))))))</f>
        <v/>
      </c>
    </row>
    <row r="8">
      <c r="A8" s="9" t="inlineStr">
        <is>
          <t>P011</t>
        </is>
      </c>
      <c r="B8" s="9" t="inlineStr">
        <is>
          <t>车载多媒体</t>
        </is>
      </c>
      <c r="C8" s="10" t="inlineStr">
        <is>
          <t>SoC</t>
        </is>
      </c>
      <c r="D8" s="10" t="inlineStr">
        <is>
          <t>Flash</t>
        </is>
      </c>
      <c r="E8" s="10" t="inlineStr">
        <is>
          <t>媒体源</t>
        </is>
      </c>
      <c r="F8" s="10" t="inlineStr">
        <is>
          <t>固件及应用</t>
        </is>
      </c>
      <c r="G8" s="10" t="inlineStr">
        <is>
          <t>"Authenticity | 真实性"</t>
        </is>
      </c>
      <c r="H8" s="10" t="inlineStr">
        <is>
          <t>S欺骗</t>
        </is>
      </c>
      <c r="I8" s="10" t="inlineStr">
        <is>
          <t>多媒体源数据被仿冒，导致多媒体真实性被破坏，导致多媒体模块传递的错误的视频信息，产生误导影响。</t>
        </is>
      </c>
      <c r="J8" s="10" t="inlineStr">
        <is>
          <t>1.攻击者通过USB接口攻击多媒体主机，获得多媒体主机权限，进而攻击其他车载部件
2.使用伪造的固件及应用进行替换
3.导致功能执行异常</t>
        </is>
      </c>
      <c r="K8" s="10" t="inlineStr">
        <is>
          <t>4.1
4.2</t>
        </is>
      </c>
      <c r="L8" s="10" t="inlineStr">
        <is>
          <t>本地</t>
        </is>
      </c>
      <c r="M8" s="10">
        <f>IF(L8="网络",0.85,IF(L8="邻居",0.62,IF(L8="本地",0.55,IF(L8="物理",0.2))))</f>
        <v/>
      </c>
      <c r="N8" s="10" t="inlineStr">
        <is>
          <t>高</t>
        </is>
      </c>
      <c r="O8" s="10">
        <f>IF(N8="低",0.77,IF(N8="高",0.44))</f>
        <v/>
      </c>
      <c r="P8" s="10" t="inlineStr">
        <is>
          <t>低</t>
        </is>
      </c>
      <c r="Q8" s="10">
        <f>IF(P8="无",0.85,IF(P8="低",0.62,IF(P8="高",0.27)))</f>
        <v/>
      </c>
      <c r="R8" s="10" t="inlineStr">
        <is>
          <t>不需要</t>
        </is>
      </c>
      <c r="S8" s="10">
        <f>IF(R8="不需要",0.85,IF(R8="需要",0.62))</f>
        <v/>
      </c>
      <c r="T8" s="10">
        <f>8.22*M8*O8*Q8*S8</f>
        <v/>
      </c>
      <c r="U8" s="10">
        <f>IF(T8&lt;=1.05,"很低",IF(T8&lt;=1.99,"低",IF(T8&lt;=2.95,"中",IF(T8&lt;=3.89,"高"))))</f>
        <v/>
      </c>
      <c r="V8" s="10" t="inlineStr">
        <is>
          <t>中等的</t>
        </is>
      </c>
      <c r="W8" s="10">
        <f>IF(V8="可忽略不计的","没有受伤",IF(V8="中等的","轻度和中度伤害",IF(V8="重大的","重伤和生命危险（可能幸存）",IF(V8="严重的","威胁生命的伤害（尚不确定生存），致命伤害"))))</f>
        <v/>
      </c>
      <c r="X8" s="10">
        <f>IF(V8="可忽略不计的",0,IF(V8="中等的",10,IF(V8="重大的",100,IF(V8="严重的",1000))))</f>
        <v/>
      </c>
      <c r="Y8" s="10" t="inlineStr">
        <is>
          <t>中等的</t>
        </is>
      </c>
      <c r="Z8" s="10">
        <f>IF(Y8="可忽略不计的","财务损失不会产生任何影响，可忽略给后果或与利益相关者无关",IF(Y8="中等的","经济损失会带来不便的后果，受影响的利益相关者将能够用有限的资源来克服这些后果",IF(Y8="重大的","经济损失导致重大后果，受影响的利益相关者将能够克服",IF(Y8="严重的","经济损失导致灾难性后果，受影响的利益相关者可能无法克服"))))</f>
        <v/>
      </c>
      <c r="AA8" s="10">
        <f>IF(Y8="可忽略不计的",0,IF(Y8="中等的","10",IF(Y8="重大的",100,IF(Y8="严重的",1000))))</f>
        <v/>
      </c>
      <c r="AB8" s="10" t="inlineStr">
        <is>
          <t>重大的</t>
        </is>
      </c>
      <c r="AC8" s="10">
        <f>IF(AB8="可忽略不计的","操作损坏不会导致车辆功能或性能下降，也不会导致性能下降",IF(AB8="中等的","操作损坏会导致车辆功能或性能的部分下降",IF(AB8="重大的","操作损坏导致车辆功能丧失",IF(AB8="严重的","操作损坏导致车辆从不希望的运行到无法运行的所有车辆不工作"))))</f>
        <v/>
      </c>
      <c r="AD8" s="10">
        <f>IF(AB8="可忽略不计的",0,IF(AB8="中等的",1,IF(AB8="重大的",10,IF(AB8="严重的",100))))</f>
        <v/>
      </c>
      <c r="AE8" s="10" t="inlineStr">
        <is>
          <t>可忽略不计的</t>
        </is>
      </c>
      <c r="AF8" s="10">
        <f>IF(AE8="可忽略不计的","隐私危害不会产生任何影响,也不会给道路使用者带来不便",IF(AE8="中等的","隐私危害给道路使用者带来极大的不便",IF(AE8="重大的","隐私危害会严重影响道路使用者",IF(AE8="严重的","隐私危害对道路使用者造成重大甚至不可逆转的影响"))))</f>
        <v/>
      </c>
      <c r="AG8" s="10">
        <f>IF(AE8="可忽略不计的",0,IF(AE8="中等的",1,IF(AE8="重大的",10,IF(AE8="严重的",100))))</f>
        <v/>
      </c>
      <c r="AH8" s="10">
        <f>SUM(X8+AA8+AD8+AG8)</f>
        <v/>
      </c>
      <c r="AI8" s="10">
        <f>IF(AH8&gt;=1000,"严重的",IF(AH8&gt;=100,"重大的",IF(AH8&gt;=20,"中等的",IF(AH8&gt;=10,"微不足道","无影响"))))</f>
        <v/>
      </c>
      <c r="AJ8" s="10">
        <f>IF(AND(AI8="无影响",U8="无"),"QM",IF(AND(AI8="无影响",U8="很低"),"QM",IF(AND(AI8="无影响",U8="低"),"QM",IF(AND(AI8="无影响",U8="中"),"QM",IF(AND(AI8="无影响",U8="高"),"Low",IF(AND(AI8="微不足道",U8="无"),"QM",IF(AND(AI8="微不足道",U8="很低"),"Low",IF(AND(AI8="微不足道",U8="低"),"Low",IF(AND(AI8="微不足道",U8="中"),"Low",IF(AND(AI8="微不足道",U8="高"),"Medium",IF(AND(AI8="中等的",U8="无"),"QM",IF(AND(AI8="中等的",U8="很低"),"Low",IF(AND(AI8="中等的",U8="低"),"Medium",IF(AND(AI8="中等的",U8="中"),"Medium",IF(AND(AI8="中等的",U8="高"),"High",IF(AND(AI8="重大的",U8="无"),"QM",IF(AND(AI8="重大的",U8="很低"),"Low",IF(AND(AI8="重大的",U8="低"),"Medium",IF(AND(AI8="重大的",U8="中"),"High",IF(AND(AI8="重大的",U8="高"),"High",IF(AND(AI8="严重的",U8="无"),"Low",IF(AND(AI8="严重的",U8="很低"),"Medium",IF(AND(AI8="严重的",U8="低"),"High",IF(AND(AI8="严重的",U8="中"),"High",IF(AND(AI8="严重的",U8="高"),"Critical")))))))))))))))))))))))))</f>
        <v/>
      </c>
      <c r="AK8" s="10">
        <f>IF(OR(AJ8="QM",AJ8="Low"),"保留风险",IF(OR(AJ8="Medium",AJ8="Critical",AJ8="High"),"降低风险","保留风险"))</f>
        <v/>
      </c>
      <c r="AL8" s="10">
        <f>IF(AK8="保留风险","/",IF(OR(AK8="降低风险",AK8="转移风险",AK8="消除风险"),"应保护"&amp;E8&amp;"的"&amp;G8,"NA"))</f>
        <v/>
      </c>
      <c r="AM8" s="10" t="inlineStr"/>
      <c r="AN8" s="10">
        <f>IF(H8="T篡改","M10",IF(H8="D拒绝服务","M13",IF(H8="I信息泄露","M12"&amp;CHAR(10)&amp;"M24",IF(H8="S欺骗","M10"&amp;CHAR(10)&amp;"M11",IF(H8="E权限提升","M8"&amp;CHAR(10)&amp;"M9",IF(H8="R抵赖","M9"&amp;CHAR(10)&amp;"M10"))))))</f>
        <v/>
      </c>
    </row>
    <row r="9">
      <c r="A9" s="9" t="inlineStr"/>
      <c r="B9" s="9" t="inlineStr"/>
      <c r="C9" s="10" t="inlineStr"/>
      <c r="D9" s="10" t="inlineStr"/>
      <c r="E9" s="10" t="inlineStr">
        <is>
          <t>媒体源</t>
        </is>
      </c>
      <c r="F9" s="10" t="inlineStr">
        <is>
          <t>固件及应用</t>
        </is>
      </c>
      <c r="G9" s="10" t="inlineStr">
        <is>
          <t>"Integrity | 完整性"</t>
        </is>
      </c>
      <c r="H9" s="10" t="inlineStr">
        <is>
          <t>T篡改</t>
        </is>
      </c>
      <c r="I9" s="10" t="inlineStr">
        <is>
          <t>多媒体源被篡改，攻击者可以修改视频内容，导致对车辆安全和操控产生负面影响。</t>
        </is>
      </c>
      <c r="J9" s="10" t="inlineStr">
        <is>
          <t>1.攻击者通过硬件调试接口如JTAG、UART接口攻击车载部件
2.车载部件固件逻辑被篡改
3.执行器错误执行相关指令，导致功能执行异常</t>
        </is>
      </c>
      <c r="K9" s="10" t="inlineStr">
        <is>
          <t>4.1
5.1
6.1
6.2
6.3</t>
        </is>
      </c>
      <c r="L9" s="10" t="inlineStr">
        <is>
          <t>本地</t>
        </is>
      </c>
      <c r="M9" s="10">
        <f>IF(L9="网络",0.85,IF(L9="邻居",0.62,IF(L9="本地",0.55,IF(L9="物理",0.2))))</f>
        <v/>
      </c>
      <c r="N9" s="10" t="inlineStr">
        <is>
          <t>低</t>
        </is>
      </c>
      <c r="O9" s="10">
        <f>IF(N9="低",0.77,IF(N9="高",0.44))</f>
        <v/>
      </c>
      <c r="P9" s="10" t="inlineStr">
        <is>
          <t>低</t>
        </is>
      </c>
      <c r="Q9" s="10">
        <f>IF(P9="无",0.85,IF(P9="低",0.62,IF(P9="高",0.27)))</f>
        <v/>
      </c>
      <c r="R9" s="10" t="inlineStr">
        <is>
          <t>需要</t>
        </is>
      </c>
      <c r="S9" s="10">
        <f>IF(R9="不需要",0.85,IF(R9="需要",0.62))</f>
        <v/>
      </c>
      <c r="T9" s="10">
        <f>8.22*M9*O9*Q9*S9</f>
        <v/>
      </c>
      <c r="U9" s="10">
        <f>IF(T9&lt;=1.05,"很低",IF(T9&lt;=1.99,"低",IF(T9&lt;=2.95,"中",IF(T9&lt;=3.89,"高"))))</f>
        <v/>
      </c>
      <c r="V9" s="10" t="inlineStr">
        <is>
          <t>可忽略不计的</t>
        </is>
      </c>
      <c r="W9" s="10">
        <f>IF(V9="可忽略不计的","没有受伤",IF(V9="中等的","轻度和中度伤害",IF(V9="重大的","重伤和生命危险（可能幸存）",IF(V9="严重的","威胁生命的伤害（尚不确定生存），致命伤害"))))</f>
        <v/>
      </c>
      <c r="X9" s="10">
        <f>IF(V9="可忽略不计的",0,IF(V9="中等的",10,IF(V9="重大的",100,IF(V9="严重的",1000))))</f>
        <v/>
      </c>
      <c r="Y9" s="10" t="inlineStr">
        <is>
          <t>中等的</t>
        </is>
      </c>
      <c r="Z9" s="10">
        <f>IF(Y9="可忽略不计的","财务损失不会产生任何影响，可忽略给后果或与利益相关者无关",IF(Y9="中等的","经济损失会带来不便的后果，受影响的利益相关者将能够用有限的资源来克服这些后果",IF(Y9="重大的","经济损失导致重大后果，受影响的利益相关者将能够克服",IF(Y9="严重的","经济损失导致灾难性后果，受影响的利益相关者可能无法克服"))))</f>
        <v/>
      </c>
      <c r="AA9" s="10">
        <f>IF(Y9="可忽略不计的",0,IF(Y9="中等的","10",IF(Y9="重大的",100,IF(Y9="严重的",1000))))</f>
        <v/>
      </c>
      <c r="AB9" s="10" t="inlineStr">
        <is>
          <t>重大的</t>
        </is>
      </c>
      <c r="AC9" s="10">
        <f>IF(AB9="可忽略不计的","操作损坏不会导致车辆功能或性能下降，也不会导致性能下降",IF(AB9="中等的","操作损坏会导致车辆功能或性能的部分下降",IF(AB9="重大的","操作损坏导致车辆功能丧失",IF(AB9="严重的","操作损坏导致车辆从不希望的运行到无法运行的所有车辆不工作"))))</f>
        <v/>
      </c>
      <c r="AD9" s="10">
        <f>IF(AB9="可忽略不计的",0,IF(AB9="中等的",1,IF(AB9="重大的",10,IF(AB9="严重的",100))))</f>
        <v/>
      </c>
      <c r="AE9" s="10" t="inlineStr">
        <is>
          <t>可忽略不计的</t>
        </is>
      </c>
      <c r="AF9" s="10">
        <f>IF(AE9="可忽略不计的","隐私危害不会产生任何影响,也不会给道路使用者带来不便",IF(AE9="中等的","隐私危害给道路使用者带来极大的不便",IF(AE9="重大的","隐私危害会严重影响道路使用者",IF(AE9="严重的","隐私危害对道路使用者造成重大甚至不可逆转的影响"))))</f>
        <v/>
      </c>
      <c r="AG9" s="10">
        <f>IF(AE9="可忽略不计的",0,IF(AE9="中等的",1,IF(AE9="重大的",10,IF(AE9="严重的",100))))</f>
        <v/>
      </c>
      <c r="AH9" s="10">
        <f>SUM(X9+AA9+AD9+AG9)</f>
        <v/>
      </c>
      <c r="AI9" s="10">
        <f>IF(AH9&gt;=1000,"严重的",IF(AH9&gt;=100,"重大的",IF(AH9&gt;=20,"中等的",IF(AH9&gt;=10,"微不足道","无影响"))))</f>
        <v/>
      </c>
      <c r="AJ9" s="10">
        <f>IF(AND(AI9="无影响",U9="无"),"QM",IF(AND(AI9="无影响",U9="很低"),"QM",IF(AND(AI9="无影响",U9="低"),"QM",IF(AND(AI9="无影响",U9="中"),"QM",IF(AND(AI9="无影响",U9="高"),"Low",IF(AND(AI9="微不足道",U9="无"),"QM",IF(AND(AI9="微不足道",U9="很低"),"Low",IF(AND(AI9="微不足道",U9="低"),"Low",IF(AND(AI9="微不足道",U9="中"),"Low",IF(AND(AI9="微不足道",U9="高"),"Medium",IF(AND(AI9="中等的",U9="无"),"QM",IF(AND(AI9="中等的",U9="很低"),"Low",IF(AND(AI9="中等的",U9="低"),"Medium",IF(AND(AI9="中等的",U9="中"),"Medium",IF(AND(AI9="中等的",U9="高"),"High",IF(AND(AI9="重大的",U9="无"),"QM",IF(AND(AI9="重大的",U9="很低"),"Low",IF(AND(AI9="重大的",U9="低"),"Medium",IF(AND(AI9="重大的",U9="中"),"High",IF(AND(AI9="重大的",U9="高"),"High",IF(AND(AI9="严重的",U9="无"),"Low",IF(AND(AI9="严重的",U9="很低"),"Medium",IF(AND(AI9="严重的",U9="低"),"High",IF(AND(AI9="严重的",U9="中"),"High",IF(AND(AI9="严重的",U9="高"),"Critical")))))))))))))))))))))))))</f>
        <v/>
      </c>
      <c r="AK9" s="10">
        <f>IF(OR(AJ9="QM",AJ9="Low"),"保留风险",IF(OR(AJ9="Medium",AJ9="Critical",AJ9="High"),"降低风险","保留风险"))</f>
        <v/>
      </c>
      <c r="AL9" s="10">
        <f>IF(AK9="保留风险","/",IF(OR(AK9="降低风险",AK9="转移风险",AK9="消除风险"),"应保护"&amp;E9&amp;"的"&amp;G9,"NA"))</f>
        <v/>
      </c>
      <c r="AM9" s="10" t="inlineStr">
        <is>
          <t>基于媒体文件的格式定义，对文件格式进行符合性校验，只允许读写指定格式的文件或安装执行指定签名的应用软件</t>
        </is>
      </c>
      <c r="AN9" s="10">
        <f>IF(H9="T篡改","M10",IF(H9="D拒绝服务","M13",IF(H9="I信息泄露","M12"&amp;CHAR(10)&amp;"M24",IF(H9="S欺骗","M10"&amp;CHAR(10)&amp;"M11",IF(H9="E权限提升","M8"&amp;CHAR(10)&amp;"M9",IF(H9="R抵赖","M9"&amp;CHAR(10)&amp;"M10"))))))</f>
        <v/>
      </c>
    </row>
    <row r="10">
      <c r="A10" s="9" t="inlineStr"/>
      <c r="B10" s="9" t="inlineStr"/>
      <c r="C10" s="10" t="inlineStr"/>
      <c r="D10" s="10" t="inlineStr"/>
      <c r="E10" s="10" t="inlineStr">
        <is>
          <t>媒体源</t>
        </is>
      </c>
      <c r="F10" s="10" t="inlineStr">
        <is>
          <t>固件及应用</t>
        </is>
      </c>
      <c r="G10" s="10" t="inlineStr">
        <is>
          <t>"Availability | 可用性"</t>
        </is>
      </c>
      <c r="H10" s="10" t="inlineStr">
        <is>
          <t>D拒绝服务</t>
        </is>
      </c>
      <c r="I10" s="10" t="inlineStr">
        <is>
          <t>多媒体源收到攻击者拒绝服务攻击或攻击者通过发送大量无效请求或恶意指令，使多媒体源过载或崩溃，导致视频信息无法正常传输或显示，导致驾驶员对周围环境的感知能力，增加</t>
        </is>
      </c>
      <c r="J10" s="10" t="inlineStr">
        <is>
          <t>1.攻击者发送大量无效、恶意或异常的请求、命令或数据包，使零部件并发执行大量任务，占用CPU、内存、网络带宽等各类资源资源。
2.功能模块在处理过多恶意请求</t>
        </is>
      </c>
      <c r="K10" s="10" t="inlineStr">
        <is>
          <t>24.1
8.1</t>
        </is>
      </c>
      <c r="L10" s="10" t="inlineStr">
        <is>
          <t>本地</t>
        </is>
      </c>
      <c r="M10" s="10">
        <f>IF(L10="网络",0.85,IF(L10="邻居",0.62,IF(L10="本地",0.55,IF(L10="物理",0.2))))</f>
        <v/>
      </c>
      <c r="N10" s="10" t="inlineStr">
        <is>
          <t>低</t>
        </is>
      </c>
      <c r="O10" s="10">
        <f>IF(N10="低",0.77,IF(N10="高",0.44))</f>
        <v/>
      </c>
      <c r="P10" s="10" t="inlineStr">
        <is>
          <t>高</t>
        </is>
      </c>
      <c r="Q10" s="10">
        <f>IF(P10="无",0.85,IF(P10="低",0.62,IF(P10="高",0.27)))</f>
        <v/>
      </c>
      <c r="R10" s="10" t="inlineStr">
        <is>
          <t>不需要</t>
        </is>
      </c>
      <c r="S10" s="10">
        <f>IF(R10="不需要",0.85,IF(R10="需要",0.62))</f>
        <v/>
      </c>
      <c r="T10" s="10">
        <f>8.22*M10*O10*Q10*S10</f>
        <v/>
      </c>
      <c r="U10" s="10">
        <f>IF(T10&lt;=1.05,"很低",IF(T10&lt;=1.99,"低",IF(T10&lt;=2.95,"中",IF(T10&lt;=3.89,"高"))))</f>
        <v/>
      </c>
      <c r="V10" s="10" t="inlineStr">
        <is>
          <t>中等的</t>
        </is>
      </c>
      <c r="W10" s="10">
        <f>IF(V10="可忽略不计的","没有受伤",IF(V10="中等的","轻度和中度伤害",IF(V10="重大的","重伤和生命危险（可能幸存）",IF(V10="严重的","威胁生命的伤害（尚不确定生存），致命伤害"))))</f>
        <v/>
      </c>
      <c r="X10" s="10">
        <f>IF(V10="可忽略不计的",0,IF(V10="中等的",10,IF(V10="重大的",100,IF(V10="严重的",1000))))</f>
        <v/>
      </c>
      <c r="Y10" s="10" t="inlineStr">
        <is>
          <t>中等的</t>
        </is>
      </c>
      <c r="Z10" s="10">
        <f>IF(Y10="可忽略不计的","财务损失不会产生任何影响，可忽略给后果或与利益相关者无关",IF(Y10="中等的","经济损失会带来不便的后果，受影响的利益相关者将能够用有限的资源来克服这些后果",IF(Y10="重大的","经济损失导致重大后果，受影响的利益相关者将能够克服",IF(Y10="严重的","经济损失导致灾难性后果，受影响的利益相关者可能无法克服"))))</f>
        <v/>
      </c>
      <c r="AA10" s="10">
        <f>IF(Y10="可忽略不计的",0,IF(Y10="中等的","10",IF(Y10="重大的",100,IF(Y10="严重的",1000))))</f>
        <v/>
      </c>
      <c r="AB10" s="10" t="inlineStr">
        <is>
          <t>重大的</t>
        </is>
      </c>
      <c r="AC10" s="10">
        <f>IF(AB10="可忽略不计的","操作损坏不会导致车辆功能或性能下降，也不会导致性能下降",IF(AB10="中等的","操作损坏会导致车辆功能或性能的部分下降",IF(AB10="重大的","操作损坏导致车辆功能丧失",IF(AB10="严重的","操作损坏导致车辆从不希望的运行到无法运行的所有车辆不工作"))))</f>
        <v/>
      </c>
      <c r="AD10" s="10">
        <f>IF(AB10="可忽略不计的",0,IF(AB10="中等的",1,IF(AB10="重大的",10,IF(AB10="严重的",100))))</f>
        <v/>
      </c>
      <c r="AE10" s="10" t="inlineStr">
        <is>
          <t>可忽略不计的</t>
        </is>
      </c>
      <c r="AF10" s="10">
        <f>IF(AE10="可忽略不计的","隐私危害不会产生任何影响,也不会给道路使用者带来不便",IF(AE10="中等的","隐私危害给道路使用者带来极大的不便",IF(AE10="重大的","隐私危害会严重影响道路使用者",IF(AE10="严重的","隐私危害对道路使用者造成重大甚至不可逆转的影响"))))</f>
        <v/>
      </c>
      <c r="AG10" s="10">
        <f>IF(AE10="可忽略不计的",0,IF(AE10="中等的",1,IF(AE10="重大的",10,IF(AE10="严重的",100))))</f>
        <v/>
      </c>
      <c r="AH10" s="10">
        <f>SUM(X10+AA10+AD10+AG10)</f>
        <v/>
      </c>
      <c r="AI10" s="10">
        <f>IF(AH10&gt;=1000,"严重的",IF(AH10&gt;=100,"重大的",IF(AH10&gt;=20,"中等的",IF(AH10&gt;=10,"微不足道","无影响"))))</f>
        <v/>
      </c>
      <c r="AJ10" s="10">
        <f>IF(AND(AI10="无影响",U10="无"),"QM",IF(AND(AI10="无影响",U10="很低"),"QM",IF(AND(AI10="无影响",U10="低"),"QM",IF(AND(AI10="无影响",U10="中"),"QM",IF(AND(AI10="无影响",U10="高"),"Low",IF(AND(AI10="微不足道",U10="无"),"QM",IF(AND(AI10="微不足道",U10="很低"),"Low",IF(AND(AI10="微不足道",U10="低"),"Low",IF(AND(AI10="微不足道",U10="中"),"Low",IF(AND(AI10="微不足道",U10="高"),"Medium",IF(AND(AI10="中等的",U10="无"),"QM",IF(AND(AI10="中等的",U10="很低"),"Low",IF(AND(AI10="中等的",U10="低"),"Medium",IF(AND(AI10="中等的",U10="中"),"Medium",IF(AND(AI10="中等的",U10="高"),"High",IF(AND(AI10="重大的",U10="无"),"QM",IF(AND(AI10="重大的",U10="很低"),"Low",IF(AND(AI10="重大的",U10="低"),"Medium",IF(AND(AI10="重大的",U10="中"),"High",IF(AND(AI10="重大的",U10="高"),"High",IF(AND(AI10="严重的",U10="无"),"Low",IF(AND(AI10="严重的",U10="很低"),"Medium",IF(AND(AI10="严重的",U10="低"),"High",IF(AND(AI10="严重的",U10="中"),"High",IF(AND(AI10="严重的",U10="高"),"Critical")))))))))))))))))))))))))</f>
        <v/>
      </c>
      <c r="AK10" s="10">
        <f>IF(OR(AJ10="QM",AJ10="Low"),"保留风险",IF(OR(AJ10="Medium",AJ10="Critical",AJ10="High"),"降低风险","保留风险"))</f>
        <v/>
      </c>
      <c r="AL10" s="10">
        <f>IF(AK10="保留风险","/",IF(OR(AK10="降低风险",AK10="转移风险",AK10="消除风险"),"应保护"&amp;E10&amp;"的"&amp;G10,"NA"))</f>
        <v/>
      </c>
      <c r="AM10" s="10" t="inlineStr"/>
      <c r="AN10" s="10">
        <f>IF(H10="T篡改","M10",IF(H10="D拒绝服务","M13",IF(H10="I信息泄露","M12"&amp;CHAR(10)&amp;"M24",IF(H10="S欺骗","M10"&amp;CHAR(10)&amp;"M11",IF(H10="E权限提升","M8"&amp;CHAR(10)&amp;"M9",IF(H10="R抵赖","M9"&amp;CHAR(10)&amp;"M10"))))))</f>
        <v/>
      </c>
    </row>
    <row r="11">
      <c r="A11" s="9" t="inlineStr">
        <is>
          <t xml:space="preserve">E014
</t>
        </is>
      </c>
      <c r="B11" s="9" t="inlineStr">
        <is>
          <t>车载多媒体</t>
        </is>
      </c>
      <c r="C11" s="10" t="inlineStr">
        <is>
          <t>系统实体</t>
        </is>
      </c>
      <c r="D11" s="10" t="inlineStr">
        <is>
          <t>N/A</t>
        </is>
      </c>
      <c r="E11" s="10" t="inlineStr">
        <is>
          <t>OBD接口</t>
        </is>
      </c>
      <c r="F11" s="10" t="inlineStr">
        <is>
          <t>外部实体</t>
        </is>
      </c>
      <c r="G11" s="10" t="inlineStr">
        <is>
          <t>"Elevation of Privilege | 权限提升"</t>
        </is>
      </c>
      <c r="H11" s="10" t="inlineStr">
        <is>
          <t>E权限提升</t>
        </is>
      </c>
      <c r="I11" s="10" t="inlineStr">
        <is>
          <t>攻击者通过非授权的诊断仪等设备连接OBD端口，通过恶意指令执行操作，破坏系统安全。</t>
        </is>
      </c>
      <c r="J11" s="10" t="inlineStr">
        <is>
          <t>1、攻击者通过相关非授权设备恶意连接OBD接口，破坏系统安全。</t>
        </is>
      </c>
      <c r="K11" s="10" t="inlineStr">
        <is>
          <t>7.1
9.1</t>
        </is>
      </c>
      <c r="L11" s="10" t="inlineStr">
        <is>
          <t>本地</t>
        </is>
      </c>
      <c r="M11" s="10">
        <f>IF(L11="网络",0.85,IF(L11="邻居",0.62,IF(L11="本地",0.55,IF(L11="物理",0.2))))</f>
        <v/>
      </c>
      <c r="N11" s="10" t="inlineStr">
        <is>
          <t>低</t>
        </is>
      </c>
      <c r="O11" s="10">
        <f>IF(N11="低",0.77,IF(N11="高",0.44))</f>
        <v/>
      </c>
      <c r="P11" s="10" t="inlineStr">
        <is>
          <t>低</t>
        </is>
      </c>
      <c r="Q11" s="10">
        <f>IF(P11="无",0.85,IF(P11="低",0.62,IF(P11="高",0.27)))</f>
        <v/>
      </c>
      <c r="R11" s="10" t="inlineStr">
        <is>
          <t>不需要</t>
        </is>
      </c>
      <c r="S11" s="10">
        <f>IF(R11="不需要",0.85,IF(R11="需要",0.62))</f>
        <v/>
      </c>
      <c r="T11" s="10">
        <f>8.22*M11*O11*Q11*S11</f>
        <v/>
      </c>
      <c r="U11" s="10">
        <f>IF(T11&lt;=1.05,"很低",IF(T11&lt;=1.99,"低",IF(T11&lt;=2.95,"中",IF(T11&lt;=3.89,"高"))))</f>
        <v/>
      </c>
      <c r="V11" s="10" t="inlineStr">
        <is>
          <t>中等的</t>
        </is>
      </c>
      <c r="W11" s="10">
        <f>IF(V11="可忽略不计的","没有受伤",IF(V11="中等的","轻度和中度伤害",IF(V11="重大的","重伤和生命危险（可能幸存）",IF(V11="严重的","威胁生命的伤害（尚不确定生存），致命伤害"))))</f>
        <v/>
      </c>
      <c r="X11" s="10">
        <f>IF(V11="可忽略不计的",0,IF(V11="中等的",10,IF(V11="重大的",100,IF(V11="严重的",1000))))</f>
        <v/>
      </c>
      <c r="Y11" s="10" t="inlineStr">
        <is>
          <t>中等的</t>
        </is>
      </c>
      <c r="Z11" s="10">
        <f>IF(Y11="可忽略不计的","财务损失不会产生任何影响，可忽略给后果或与利益相关者无关",IF(Y11="中等的","经济损失会带来不便的后果，受影响的利益相关者将能够用有限的资源来克服这些后果",IF(Y11="重大的","经济损失导致重大后果，受影响的利益相关者将能够克服",IF(Y11="严重的","经济损失导致灾难性后果，受影响的利益相关者可能无法克服"))))</f>
        <v/>
      </c>
      <c r="AA11" s="10">
        <f>IF(Y11="可忽略不计的",0,IF(Y11="中等的","10",IF(Y11="重大的",100,IF(Y11="严重的",1000))))</f>
        <v/>
      </c>
      <c r="AB11" s="10" t="inlineStr">
        <is>
          <t>重大的</t>
        </is>
      </c>
      <c r="AC11" s="10">
        <f>IF(AB11="可忽略不计的","操作损坏不会导致车辆功能或性能下降，也不会导致性能下降",IF(AB11="中等的","操作损坏会导致车辆功能或性能的部分下降",IF(AB11="重大的","操作损坏导致车辆功能丧失",IF(AB11="严重的","操作损坏导致车辆从不希望的运行到无法运行的所有车辆不工作"))))</f>
        <v/>
      </c>
      <c r="AD11" s="10">
        <f>IF(AB11="可忽略不计的",0,IF(AB11="中等的",1,IF(AB11="重大的",10,IF(AB11="严重的",100))))</f>
        <v/>
      </c>
      <c r="AE11" s="10" t="inlineStr">
        <is>
          <t>可忽略不计的</t>
        </is>
      </c>
      <c r="AF11" s="10">
        <f>IF(AE11="可忽略不计的","隐私危害不会产生任何影响,也不会给道路使用者带来不便",IF(AE11="中等的","隐私危害给道路使用者带来极大的不便",IF(AE11="重大的","隐私危害会严重影响道路使用者",IF(AE11="严重的","隐私危害对道路使用者造成重大甚至不可逆转的影响"))))</f>
        <v/>
      </c>
      <c r="AG11" s="10">
        <f>IF(AE11="可忽略不计的",0,IF(AE11="中等的",1,IF(AE11="重大的",10,IF(AE11="严重的",100))))</f>
        <v/>
      </c>
      <c r="AH11" s="10">
        <f>SUM(X11+AA11+AD11+AG11)</f>
        <v/>
      </c>
      <c r="AI11" s="10">
        <f>IF(AH11&gt;=1000,"严重的",IF(AH11&gt;=100,"重大的",IF(AH11&gt;=20,"中等的",IF(AH11&gt;=10,"微不足道","无影响"))))</f>
        <v/>
      </c>
      <c r="AJ11" s="10">
        <f>IF(AND(AI11="无影响",U11="无"),"QM",IF(AND(AI11="无影响",U11="很低"),"QM",IF(AND(AI11="无影响",U11="低"),"QM",IF(AND(AI11="无影响",U11="中"),"QM",IF(AND(AI11="无影响",U11="高"),"Low",IF(AND(AI11="微不足道",U11="无"),"QM",IF(AND(AI11="微不足道",U11="很低"),"Low",IF(AND(AI11="微不足道",U11="低"),"Low",IF(AND(AI11="微不足道",U11="中"),"Low",IF(AND(AI11="微不足道",U11="高"),"Medium",IF(AND(AI11="中等的",U11="无"),"QM",IF(AND(AI11="中等的",U11="很低"),"Low",IF(AND(AI11="中等的",U11="低"),"Medium",IF(AND(AI11="中等的",U11="中"),"Medium",IF(AND(AI11="中等的",U11="高"),"High",IF(AND(AI11="重大的",U11="无"),"QM",IF(AND(AI11="重大的",U11="很低"),"Low",IF(AND(AI11="重大的",U11="低"),"Medium",IF(AND(AI11="重大的",U11="中"),"High",IF(AND(AI11="重大的",U11="高"),"High",IF(AND(AI11="严重的",U11="无"),"Low",IF(AND(AI11="严重的",U11="很低"),"Medium",IF(AND(AI11="严重的",U11="低"),"High",IF(AND(AI11="严重的",U11="中"),"High",IF(AND(AI11="严重的",U11="高"),"Critical")))))))))))))))))))))))))</f>
        <v/>
      </c>
      <c r="AK11" s="10">
        <f>IF(OR(AJ11="QM",AJ11="Low"),"保留风险",IF(OR(AJ11="Medium",AJ11="Critical",AJ11="High"),"降低风险","保留风险"))</f>
        <v/>
      </c>
      <c r="AL11" s="10">
        <f>IF(AK11="保留风险","/",IF(OR(AK11="降低风险",AK11="转移风险",AK11="消除风险"),"应保护"&amp;E11&amp;"的"&amp;G11,"NA"))</f>
        <v/>
      </c>
      <c r="AM11" s="10" t="inlineStr">
        <is>
          <t>通过扫二维码等方式对OBD接口实行访问控制，不允许非受控的连接。</t>
        </is>
      </c>
      <c r="AN11" s="10">
        <f>IF(H11="T篡改","M10",IF(H11="D拒绝服务","M13",IF(H11="I信息泄露","M12"&amp;CHAR(10)&amp;"M24",IF(H11="S欺骗","M10"&amp;CHAR(10)&amp;"M11",IF(H11="E权限提升","M8"&amp;CHAR(10)&amp;"M9",IF(H11="R抵赖","M9"&amp;CHAR(10)&amp;"M10"))))))</f>
        <v/>
      </c>
    </row>
    <row r="12">
      <c r="A12" s="9" t="inlineStr">
        <is>
          <t>E009</t>
        </is>
      </c>
      <c r="B12" s="9" t="inlineStr">
        <is>
          <t>车载多媒体</t>
        </is>
      </c>
      <c r="C12" s="10" t="inlineStr">
        <is>
          <t>系统实体</t>
        </is>
      </c>
      <c r="D12" s="10" t="inlineStr">
        <is>
          <t>N/A</t>
        </is>
      </c>
      <c r="E12" s="10" t="inlineStr">
        <is>
          <t>外置功放</t>
        </is>
      </c>
      <c r="F12" s="10" t="inlineStr">
        <is>
          <t>外部实体</t>
        </is>
      </c>
      <c r="G12" s="10" t="inlineStr">
        <is>
          <t>"Authenticity | 真实性"</t>
        </is>
      </c>
      <c r="H12" s="10" t="inlineStr">
        <is>
          <t>S欺骗</t>
        </is>
      </c>
      <c r="I12" s="10" t="inlineStr">
        <is>
          <t>与多媒体主机连接的外置功放被替换，导致功能调用的时候发生异常</t>
        </is>
      </c>
      <c r="J12" s="10" t="inlineStr">
        <is>
          <t>1、攻击者通过拆卸外部设备，分析设备。
2、使用其他零部件替换外部实体设备。
3、导致功能执行异常</t>
        </is>
      </c>
      <c r="K12" s="10" t="inlineStr">
        <is>
          <t>27.1
28.2
30.1
32.1</t>
        </is>
      </c>
      <c r="L12" s="10" t="inlineStr">
        <is>
          <t>物理</t>
        </is>
      </c>
      <c r="M12" s="10">
        <f>IF(L12="网络",0.85,IF(L12="邻居",0.62,IF(L12="本地",0.55,IF(L12="物理",0.2))))</f>
        <v/>
      </c>
      <c r="N12" s="10" t="inlineStr">
        <is>
          <t>低</t>
        </is>
      </c>
      <c r="O12" s="10">
        <f>IF(N12="低",0.77,IF(N12="高",0.44))</f>
        <v/>
      </c>
      <c r="P12" s="10" t="inlineStr">
        <is>
          <t>无</t>
        </is>
      </c>
      <c r="Q12" s="10">
        <f>IF(P12="无",0.85,IF(P12="低",0.62,IF(P12="高",0.27)))</f>
        <v/>
      </c>
      <c r="R12" s="10" t="inlineStr">
        <is>
          <t>不需要</t>
        </is>
      </c>
      <c r="S12" s="10">
        <f>IF(R12="不需要",0.85,IF(R12="需要",0.62))</f>
        <v/>
      </c>
      <c r="T12" s="10">
        <f>8.22*M12*O12*Q12*S12</f>
        <v/>
      </c>
      <c r="U12" s="10">
        <f>IF(T12&lt;=1.05,"很低",IF(T12&lt;=1.99,"低",IF(T12&lt;=2.95,"中",IF(T12&lt;=3.89,"高"))))</f>
        <v/>
      </c>
      <c r="V12" s="10" t="inlineStr">
        <is>
          <t>可忽略不计的</t>
        </is>
      </c>
      <c r="W12" s="10">
        <f>IF(V12="可忽略不计的","没有受伤",IF(V12="中等的","轻度和中度伤害",IF(V12="重大的","重伤和生命危险（可能幸存）",IF(V12="严重的","威胁生命的伤害（尚不确定生存），致命伤害"))))</f>
        <v/>
      </c>
      <c r="X12" s="10">
        <f>IF(V12="可忽略不计的",0,IF(V12="中等的",10,IF(V12="重大的",100,IF(V12="严重的",1000))))</f>
        <v/>
      </c>
      <c r="Y12" s="10" t="inlineStr">
        <is>
          <t>可忽略不计的</t>
        </is>
      </c>
      <c r="Z12" s="10">
        <f>IF(Y12="可忽略不计的","财务损失不会产生任何影响，可忽略给后果或与利益相关者无关",IF(Y12="中等的","经济损失会带来不便的后果，受影响的利益相关者将能够用有限的资源来克服这些后果",IF(Y12="重大的","经济损失导致重大后果，受影响的利益相关者将能够克服",IF(Y12="严重的","经济损失导致灾难性后果，受影响的利益相关者可能无法克服"))))</f>
        <v/>
      </c>
      <c r="AA12" s="10">
        <f>IF(Y12="可忽略不计的",0,IF(Y12="中等的","10",IF(Y12="重大的",100,IF(Y12="严重的",1000))))</f>
        <v/>
      </c>
      <c r="AB12" s="10" t="inlineStr">
        <is>
          <t>中等的</t>
        </is>
      </c>
      <c r="AC12" s="10">
        <f>IF(AB12="可忽略不计的","操作损坏不会导致车辆功能或性能下降，也不会导致性能下降",IF(AB12="中等的","操作损坏会导致车辆功能或性能的部分下降",IF(AB12="重大的","操作损坏导致车辆功能丧失",IF(AB12="严重的","操作损坏导致车辆从不希望的运行到无法运行的所有车辆不工作"))))</f>
        <v/>
      </c>
      <c r="AD12" s="10">
        <f>IF(AB12="可忽略不计的",0,IF(AB12="中等的",1,IF(AB12="重大的",10,IF(AB12="严重的",100))))</f>
        <v/>
      </c>
      <c r="AE12" s="10" t="inlineStr">
        <is>
          <t>可忽略不计的</t>
        </is>
      </c>
      <c r="AF12" s="10">
        <f>IF(AE12="可忽略不计的","隐私危害不会产生任何影响,也不会给道路使用者带来不便",IF(AE12="中等的","隐私危害给道路使用者带来极大的不便",IF(AE12="重大的","隐私危害会严重影响道路使用者",IF(AE12="严重的","隐私危害对道路使用者造成重大甚至不可逆转的影响"))))</f>
        <v/>
      </c>
      <c r="AG12" s="10">
        <f>IF(AE12="可忽略不计的",0,IF(AE12="中等的",1,IF(AE12="重大的",10,IF(AE12="严重的",100))))</f>
        <v/>
      </c>
      <c r="AH12" s="10">
        <f>SUM(X12+AA12+AD12+AG12)</f>
        <v/>
      </c>
      <c r="AI12" s="10">
        <f>IF(AH12&gt;=1000,"严重的",IF(AH12&gt;=100,"重大的",IF(AH12&gt;=20,"中等的",IF(AH12&gt;=10,"微不足道","无影响"))))</f>
        <v/>
      </c>
      <c r="AJ12" s="10">
        <f>IF(AND(AI12="无影响",U12="无"),"QM",IF(AND(AI12="无影响",U12="很低"),"QM",IF(AND(AI12="无影响",U12="低"),"QM",IF(AND(AI12="无影响",U12="中"),"QM",IF(AND(AI12="无影响",U12="高"),"Low",IF(AND(AI12="微不足道",U12="无"),"QM",IF(AND(AI12="微不足道",U12="很低"),"Low",IF(AND(AI12="微不足道",U12="低"),"Low",IF(AND(AI12="微不足道",U12="中"),"Low",IF(AND(AI12="微不足道",U12="高"),"Medium",IF(AND(AI12="中等的",U12="无"),"QM",IF(AND(AI12="中等的",U12="很低"),"Low",IF(AND(AI12="中等的",U12="低"),"Medium",IF(AND(AI12="中等的",U12="中"),"Medium",IF(AND(AI12="中等的",U12="高"),"High",IF(AND(AI12="重大的",U12="无"),"QM",IF(AND(AI12="重大的",U12="很低"),"Low",IF(AND(AI12="重大的",U12="低"),"Medium",IF(AND(AI12="重大的",U12="中"),"High",IF(AND(AI12="重大的",U12="高"),"High",IF(AND(AI12="严重的",U12="无"),"Low",IF(AND(AI12="严重的",U12="很低"),"Medium",IF(AND(AI12="严重的",U12="低"),"High",IF(AND(AI12="严重的",U12="中"),"High",IF(AND(AI12="严重的",U12="高"),"Critical")))))))))))))))))))))))))</f>
        <v/>
      </c>
      <c r="AK12" s="10">
        <f>IF(OR(AJ12="QM",AJ12="Low"),"保留风险",IF(OR(AJ12="Medium",AJ12="Critical",AJ12="High"),"降低风险","保留风险"))</f>
        <v/>
      </c>
      <c r="AL12" s="10">
        <f>IF(AK12="保留风险","/",IF(OR(AK12="降低风险",AK12="转移风险",AK12="消除风险"),"应保护"&amp;E12&amp;"的"&amp;G12,"NA"))</f>
        <v/>
      </c>
      <c r="AM12" s="10" t="inlineStr"/>
      <c r="AN12" s="10">
        <f>IF(H12="T篡改","M10",IF(H12="D拒绝服务","M13",IF(H12="I信息泄露","M12"&amp;CHAR(10)&amp;"M24",IF(H12="S欺骗","M10"&amp;CHAR(10)&amp;"M11",IF(H12="E权限提升","M8"&amp;CHAR(10)&amp;"M9",IF(H12="R抵赖","M9"&amp;CHAR(10)&amp;"M10"))))))</f>
        <v/>
      </c>
    </row>
    <row r="13">
      <c r="A13" s="9" t="inlineStr">
        <is>
          <t>E004</t>
        </is>
      </c>
      <c r="B13" s="9" t="inlineStr">
        <is>
          <t>车载多媒体</t>
        </is>
      </c>
      <c r="C13" s="10" t="inlineStr">
        <is>
          <t>系统实体</t>
        </is>
      </c>
      <c r="D13" s="10" t="inlineStr">
        <is>
          <t>N/A</t>
        </is>
      </c>
      <c r="E13" s="10" t="inlineStr">
        <is>
          <t>UART接口</t>
        </is>
      </c>
      <c r="F13" s="10" t="inlineStr">
        <is>
          <t>外部实体</t>
        </is>
      </c>
      <c r="G13" s="10" t="inlineStr">
        <is>
          <t>"Elevation of Privilege | 权限提升"</t>
        </is>
      </c>
      <c r="H13" s="10" t="inlineStr">
        <is>
          <t>E权限提升</t>
        </is>
      </c>
      <c r="I13" s="10" t="inlineStr">
        <is>
          <t>攻击者冒充外部合法设备连接UART接口进行各种攻击，可能导致零部件无法使用。</t>
        </is>
      </c>
      <c r="J13" s="10" t="inlineStr">
        <is>
          <t>攻击者通过相关非授权设备连接UART接口，通过指令实行访问、攻击等操作。</t>
        </is>
      </c>
      <c r="K13" s="10" t="inlineStr">
        <is>
          <t>7.1
9.1</t>
        </is>
      </c>
      <c r="L13" s="10" t="inlineStr">
        <is>
          <t>本地</t>
        </is>
      </c>
      <c r="M13" s="10">
        <f>IF(L13="网络",0.85,IF(L13="邻居",0.62,IF(L13="本地",0.55,IF(L13="物理",0.2))))</f>
        <v/>
      </c>
      <c r="N13" s="10" t="inlineStr">
        <is>
          <t>低</t>
        </is>
      </c>
      <c r="O13" s="10">
        <f>IF(N13="低",0.77,IF(N13="高",0.44))</f>
        <v/>
      </c>
      <c r="P13" s="10" t="inlineStr">
        <is>
          <t>低</t>
        </is>
      </c>
      <c r="Q13" s="10">
        <f>IF(P13="无",0.85,IF(P13="低",0.62,IF(P13="高",0.27)))</f>
        <v/>
      </c>
      <c r="R13" s="10" t="inlineStr">
        <is>
          <t>不需要</t>
        </is>
      </c>
      <c r="S13" s="10">
        <f>IF(R13="不需要",0.85,IF(R13="需要",0.62))</f>
        <v/>
      </c>
      <c r="T13" s="10">
        <f>8.22*M13*O13*Q13*S13</f>
        <v/>
      </c>
      <c r="U13" s="10">
        <f>IF(T13&lt;=1.05,"很低",IF(T13&lt;=1.99,"低",IF(T13&lt;=2.95,"中",IF(T13&lt;=3.89,"高"))))</f>
        <v/>
      </c>
      <c r="V13" s="10" t="inlineStr">
        <is>
          <t>中等的</t>
        </is>
      </c>
      <c r="W13" s="10">
        <f>IF(V13="可忽略不计的","没有受伤",IF(V13="中等的","轻度和中度伤害",IF(V13="重大的","重伤和生命危险（可能幸存）",IF(V13="严重的","威胁生命的伤害（尚不确定生存），致命伤害"))))</f>
        <v/>
      </c>
      <c r="X13" s="10">
        <f>IF(V13="可忽略不计的",0,IF(V13="中等的",10,IF(V13="重大的",100,IF(V13="严重的",1000))))</f>
        <v/>
      </c>
      <c r="Y13" s="10" t="inlineStr">
        <is>
          <t>中等的</t>
        </is>
      </c>
      <c r="Z13" s="10">
        <f>IF(Y13="可忽略不计的","财务损失不会产生任何影响，可忽略给后果或与利益相关者无关",IF(Y13="中等的","经济损失会带来不便的后果，受影响的利益相关者将能够用有限的资源来克服这些后果",IF(Y13="重大的","经济损失导致重大后果，受影响的利益相关者将能够克服",IF(Y13="严重的","经济损失导致灾难性后果，受影响的利益相关者可能无法克服"))))</f>
        <v/>
      </c>
      <c r="AA13" s="10">
        <f>IF(Y13="可忽略不计的",0,IF(Y13="中等的","10",IF(Y13="重大的",100,IF(Y13="严重的",1000))))</f>
        <v/>
      </c>
      <c r="AB13" s="10" t="inlineStr">
        <is>
          <t>中等的</t>
        </is>
      </c>
      <c r="AC13" s="10">
        <f>IF(AB13="可忽略不计的","操作损坏不会导致车辆功能或性能下降，也不会导致性能下降",IF(AB13="中等的","操作损坏会导致车辆功能或性能的部分下降",IF(AB13="重大的","操作损坏导致车辆功能丧失",IF(AB13="严重的","操作损坏导致车辆从不希望的运行到无法运行的所有车辆不工作"))))</f>
        <v/>
      </c>
      <c r="AD13" s="10">
        <f>IF(AB13="可忽略不计的",0,IF(AB13="中等的",1,IF(AB13="重大的",10,IF(AB13="严重的",100))))</f>
        <v/>
      </c>
      <c r="AE13" s="10" t="inlineStr">
        <is>
          <t>可忽略不计的</t>
        </is>
      </c>
      <c r="AF13" s="10">
        <f>IF(AE13="可忽略不计的","隐私危害不会产生任何影响,也不会给道路使用者带来不便",IF(AE13="中等的","隐私危害给道路使用者带来极大的不便",IF(AE13="重大的","隐私危害会严重影响道路使用者",IF(AE13="严重的","隐私危害对道路使用者造成重大甚至不可逆转的影响"))))</f>
        <v/>
      </c>
      <c r="AG13" s="10">
        <f>IF(AE13="可忽略不计的",0,IF(AE13="中等的",1,IF(AE13="重大的",10,IF(AE13="严重的",100))))</f>
        <v/>
      </c>
      <c r="AH13" s="10">
        <f>SUM(X13+AA13+AD13+AG13)</f>
        <v/>
      </c>
      <c r="AI13" s="10">
        <f>IF(AH13&gt;=1000,"严重的",IF(AH13&gt;=100,"重大的",IF(AH13&gt;=20,"中等的",IF(AH13&gt;=10,"微不足道","无影响"))))</f>
        <v/>
      </c>
      <c r="AJ13" s="10">
        <f>IF(AND(AI13="无影响",U13="无"),"QM",IF(AND(AI13="无影响",U13="很低"),"QM",IF(AND(AI13="无影响",U13="低"),"QM",IF(AND(AI13="无影响",U13="中"),"QM",IF(AND(AI13="无影响",U13="高"),"Low",IF(AND(AI13="微不足道",U13="无"),"QM",IF(AND(AI13="微不足道",U13="很低"),"Low",IF(AND(AI13="微不足道",U13="低"),"Low",IF(AND(AI13="微不足道",U13="中"),"Low",IF(AND(AI13="微不足道",U13="高"),"Medium",IF(AND(AI13="中等的",U13="无"),"QM",IF(AND(AI13="中等的",U13="很低"),"Low",IF(AND(AI13="中等的",U13="低"),"Medium",IF(AND(AI13="中等的",U13="中"),"Medium",IF(AND(AI13="中等的",U13="高"),"High",IF(AND(AI13="重大的",U13="无"),"QM",IF(AND(AI13="重大的",U13="很低"),"Low",IF(AND(AI13="重大的",U13="低"),"Medium",IF(AND(AI13="重大的",U13="中"),"High",IF(AND(AI13="重大的",U13="高"),"High",IF(AND(AI13="严重的",U13="无"),"Low",IF(AND(AI13="严重的",U13="很低"),"Medium",IF(AND(AI13="严重的",U13="低"),"High",IF(AND(AI13="严重的",U13="中"),"High",IF(AND(AI13="严重的",U13="高"),"Critical")))))))))))))))))))))))))</f>
        <v/>
      </c>
      <c r="AK13" s="10">
        <f>IF(OR(AJ13="QM",AJ13="Low"),"保留风险",IF(OR(AJ13="Medium",AJ13="Critical",AJ13="High"),"降低风险","保留风险"))</f>
        <v/>
      </c>
      <c r="AL13" s="10">
        <f>IF(AK13="保留风险","/",IF(OR(AK13="降低风险",AK13="转移风险",AK13="消除风险"),"应保护"&amp;E13&amp;"的"&amp;G13,"NA"))</f>
        <v/>
      </c>
      <c r="AM13" s="10" t="inlineStr"/>
      <c r="AN13" s="10">
        <f>IF(H13="T篡改","M10",IF(H13="D拒绝服务","M13",IF(H13="I信息泄露","M12"&amp;CHAR(10)&amp;"M24",IF(H13="S欺骗","M10"&amp;CHAR(10)&amp;"M11",IF(H13="E权限提升","M8"&amp;CHAR(10)&amp;"M9",IF(H13="R抵赖","M9"&amp;CHAR(10)&amp;"M10"))))))</f>
        <v/>
      </c>
    </row>
    <row r="14">
      <c r="A14" s="9" t="inlineStr">
        <is>
          <t>E005</t>
        </is>
      </c>
      <c r="B14" s="9" t="inlineStr">
        <is>
          <t>车载多媒体</t>
        </is>
      </c>
      <c r="C14" s="10" t="inlineStr">
        <is>
          <t>系统实体</t>
        </is>
      </c>
      <c r="D14" s="10" t="inlineStr">
        <is>
          <t>N/A</t>
        </is>
      </c>
      <c r="E14" s="10" t="inlineStr">
        <is>
          <t>CAN/CANFD接口</t>
        </is>
      </c>
      <c r="F14" s="10" t="inlineStr">
        <is>
          <t>外部实体</t>
        </is>
      </c>
      <c r="G14" s="10" t="inlineStr">
        <is>
          <t>"Elevation of Privilege | 权限提升"</t>
        </is>
      </c>
      <c r="H14" s="10" t="inlineStr">
        <is>
          <t>E权限提升</t>
        </is>
      </c>
      <c r="I14" s="10" t="inlineStr">
        <is>
          <t>攻击者冒充外部合法设备连接CAN/CANFD接口进行各种攻击，可能导致零部件无法使用。</t>
        </is>
      </c>
      <c r="J14" s="10" t="inlineStr">
        <is>
          <t>攻击者通过诊断仪等非授权设备连接CAN接口，通过指令实行访问、攻击等操作。</t>
        </is>
      </c>
      <c r="K14" s="10" t="inlineStr">
        <is>
          <t>7.1
9.1</t>
        </is>
      </c>
      <c r="L14" s="10" t="inlineStr">
        <is>
          <t>本地</t>
        </is>
      </c>
      <c r="M14" s="10">
        <f>IF(L14="网络",0.85,IF(L14="邻居",0.62,IF(L14="本地",0.55,IF(L14="物理",0.2))))</f>
        <v/>
      </c>
      <c r="N14" s="10" t="inlineStr">
        <is>
          <t>低</t>
        </is>
      </c>
      <c r="O14" s="10">
        <f>IF(N14="低",0.77,IF(N14="高",0.44))</f>
        <v/>
      </c>
      <c r="P14" s="10" t="inlineStr">
        <is>
          <t>低</t>
        </is>
      </c>
      <c r="Q14" s="10">
        <f>IF(P14="无",0.85,IF(P14="低",0.62,IF(P14="高",0.27)))</f>
        <v/>
      </c>
      <c r="R14" s="10" t="inlineStr">
        <is>
          <t>不需要</t>
        </is>
      </c>
      <c r="S14" s="10">
        <f>IF(R14="不需要",0.85,IF(R14="需要",0.62))</f>
        <v/>
      </c>
      <c r="T14" s="10">
        <f>8.22*M14*O14*Q14*S14</f>
        <v/>
      </c>
      <c r="U14" s="10">
        <f>IF(T14&lt;=1.05,"很低",IF(T14&lt;=1.99,"低",IF(T14&lt;=2.95,"中",IF(T14&lt;=3.89,"高"))))</f>
        <v/>
      </c>
      <c r="V14" s="10" t="inlineStr">
        <is>
          <t>严重的</t>
        </is>
      </c>
      <c r="W14" s="10">
        <f>IF(V14="可忽略不计的","没有受伤",IF(V14="中等的","轻度和中度伤害",IF(V14="重大的","重伤和生命危险（可能幸存）",IF(V14="严重的","威胁生命的伤害（尚不确定生存），致命伤害"))))</f>
        <v/>
      </c>
      <c r="X14" s="10">
        <f>IF(V14="可忽略不计的",0,IF(V14="中等的",10,IF(V14="重大的",100,IF(V14="严重的",1000))))</f>
        <v/>
      </c>
      <c r="Y14" s="10" t="inlineStr">
        <is>
          <t>中等的</t>
        </is>
      </c>
      <c r="Z14" s="10">
        <f>IF(Y14="可忽略不计的","财务损失不会产生任何影响，可忽略给后果或与利益相关者无关",IF(Y14="中等的","经济损失会带来不便的后果，受影响的利益相关者将能够用有限的资源来克服这些后果",IF(Y14="重大的","经济损失导致重大后果，受影响的利益相关者将能够克服",IF(Y14="严重的","经济损失导致灾难性后果，受影响的利益相关者可能无法克服"))))</f>
        <v/>
      </c>
      <c r="AA14" s="10">
        <f>IF(Y14="可忽略不计的",0,IF(Y14="中等的","10",IF(Y14="重大的",100,IF(Y14="严重的",1000))))</f>
        <v/>
      </c>
      <c r="AB14" s="10" t="inlineStr">
        <is>
          <t>中等的</t>
        </is>
      </c>
      <c r="AC14" s="10">
        <f>IF(AB14="可忽略不计的","操作损坏不会导致车辆功能或性能下降，也不会导致性能下降",IF(AB14="中等的","操作损坏会导致车辆功能或性能的部分下降",IF(AB14="重大的","操作损坏导致车辆功能丧失",IF(AB14="严重的","操作损坏导致车辆从不希望的运行到无法运行的所有车辆不工作"))))</f>
        <v/>
      </c>
      <c r="AD14" s="10">
        <f>IF(AB14="可忽略不计的",0,IF(AB14="中等的",1,IF(AB14="重大的",10,IF(AB14="严重的",100))))</f>
        <v/>
      </c>
      <c r="AE14" s="10" t="inlineStr">
        <is>
          <t>可忽略不计的</t>
        </is>
      </c>
      <c r="AF14" s="10">
        <f>IF(AE14="可忽略不计的","隐私危害不会产生任何影响,也不会给道路使用者带来不便",IF(AE14="中等的","隐私危害给道路使用者带来极大的不便",IF(AE14="重大的","隐私危害会严重影响道路使用者",IF(AE14="严重的","隐私危害对道路使用者造成重大甚至不可逆转的影响"))))</f>
        <v/>
      </c>
      <c r="AG14" s="10">
        <f>IF(AE14="可忽略不计的",0,IF(AE14="中等的",1,IF(AE14="重大的",10,IF(AE14="严重的",100))))</f>
        <v/>
      </c>
      <c r="AH14" s="10">
        <f>SUM(X14+AA14+AD14+AG14)</f>
        <v/>
      </c>
      <c r="AI14" s="10">
        <f>IF(AH14&gt;=1000,"严重的",IF(AH14&gt;=100,"重大的",IF(AH14&gt;=20,"中等的",IF(AH14&gt;=10,"微不足道","无影响"))))</f>
        <v/>
      </c>
      <c r="AJ14" s="10">
        <f>IF(AND(AI14="无影响",U14="无"),"QM",IF(AND(AI14="无影响",U14="很低"),"QM",IF(AND(AI14="无影响",U14="低"),"QM",IF(AND(AI14="无影响",U14="中"),"QM",IF(AND(AI14="无影响",U14="高"),"Low",IF(AND(AI14="微不足道",U14="无"),"QM",IF(AND(AI14="微不足道",U14="很低"),"Low",IF(AND(AI14="微不足道",U14="低"),"Low",IF(AND(AI14="微不足道",U14="中"),"Low",IF(AND(AI14="微不足道",U14="高"),"Medium",IF(AND(AI14="中等的",U14="无"),"QM",IF(AND(AI14="中等的",U14="很低"),"Low",IF(AND(AI14="中等的",U14="低"),"Medium",IF(AND(AI14="中等的",U14="中"),"Medium",IF(AND(AI14="中等的",U14="高"),"High",IF(AND(AI14="重大的",U14="无"),"QM",IF(AND(AI14="重大的",U14="很低"),"Low",IF(AND(AI14="重大的",U14="低"),"Medium",IF(AND(AI14="重大的",U14="中"),"High",IF(AND(AI14="重大的",U14="高"),"High",IF(AND(AI14="严重的",U14="无"),"Low",IF(AND(AI14="严重的",U14="很低"),"Medium",IF(AND(AI14="严重的",U14="低"),"High",IF(AND(AI14="严重的",U14="中"),"High",IF(AND(AI14="严重的",U14="高"),"Critical")))))))))))))))))))))))))</f>
        <v/>
      </c>
      <c r="AK14" s="10">
        <f>IF(OR(AJ14="QM",AJ14="Low"),"保留风险",IF(OR(AJ14="Medium",AJ14="Critical",AJ14="High"),"降低风险","保留风险"))</f>
        <v/>
      </c>
      <c r="AL14" s="10">
        <f>IF(AK14="保留风险","/",IF(OR(AK14="降低风险",AK14="转移风险",AK14="消除风险"),"应保护"&amp;E14&amp;"的"&amp;G14,"NA"))</f>
        <v/>
      </c>
      <c r="AM14" s="10" t="inlineStr"/>
      <c r="AN14" s="10">
        <f>IF(H14="T篡改","M10",IF(H14="D拒绝服务","M13",IF(H14="I信息泄露","M12"&amp;CHAR(10)&amp;"M24",IF(H14="S欺骗","M10"&amp;CHAR(10)&amp;"M11",IF(H14="E权限提升","M8"&amp;CHAR(10)&amp;"M9",IF(H14="R抵赖","M9"&amp;CHAR(10)&amp;"M10"))))))</f>
        <v/>
      </c>
    </row>
    <row r="15">
      <c r="A15" s="9" t="inlineStr">
        <is>
          <t>S005</t>
        </is>
      </c>
      <c r="B15" s="9" t="inlineStr">
        <is>
          <t>车载多媒体</t>
        </is>
      </c>
      <c r="C15" s="10" t="inlineStr">
        <is>
          <t>片外储存</t>
        </is>
      </c>
      <c r="D15" s="10" t="inlineStr">
        <is>
          <t>DDR</t>
        </is>
      </c>
      <c r="E15" s="10" t="inlineStr">
        <is>
          <t>OTA升级包</t>
        </is>
      </c>
      <c r="F15" s="10" t="inlineStr">
        <is>
          <t>数据存储</t>
        </is>
      </c>
      <c r="G15" s="10" t="inlineStr">
        <is>
          <t>"Authenticity | 真实性"</t>
        </is>
      </c>
      <c r="H15" s="10" t="inlineStr">
        <is>
          <t>S欺骗</t>
        </is>
      </c>
      <c r="I15" s="10" t="inlineStr">
        <is>
          <t>储存在片外储存的OTA升级包被替换，导致功能调用的时候发生异常</t>
        </is>
      </c>
      <c r="J15" s="10" t="inlineStr">
        <is>
          <t>1.攻击者通过OBD接口攻击车载部件，进而非法访问存储在车载部件的软件升级包
2.使用伪造的故障和保养信息数据替换原来的故障和保养信息
3.故障和保养信</t>
        </is>
      </c>
      <c r="K15" s="10" t="inlineStr">
        <is>
          <t>4.1
4.2
12.1</t>
        </is>
      </c>
      <c r="L15" s="10" t="inlineStr">
        <is>
          <t>本地</t>
        </is>
      </c>
      <c r="M15" s="10">
        <f>IF(L15="网络",0.85,IF(L15="邻居",0.62,IF(L15="本地",0.55,IF(L15="物理",0.2))))</f>
        <v/>
      </c>
      <c r="N15" s="10" t="inlineStr">
        <is>
          <t>低</t>
        </is>
      </c>
      <c r="O15" s="10">
        <f>IF(N15="低",0.77,IF(N15="高",0.44))</f>
        <v/>
      </c>
      <c r="P15" s="10" t="inlineStr">
        <is>
          <t>低</t>
        </is>
      </c>
      <c r="Q15" s="10">
        <f>IF(P15="无",0.85,IF(P15="低",0.62,IF(P15="高",0.27)))</f>
        <v/>
      </c>
      <c r="R15" s="10" t="inlineStr">
        <is>
          <t>不需要</t>
        </is>
      </c>
      <c r="S15" s="10">
        <f>IF(R15="不需要",0.85,IF(R15="需要",0.62))</f>
        <v/>
      </c>
      <c r="T15" s="10">
        <f>8.22*M15*O15*Q15*S15</f>
        <v/>
      </c>
      <c r="U15" s="10">
        <f>IF(T15&lt;=1.05,"很低",IF(T15&lt;=1.99,"低",IF(T15&lt;=2.95,"中",IF(T15&lt;=3.89,"高"))))</f>
        <v/>
      </c>
      <c r="V15" s="10" t="inlineStr">
        <is>
          <t>中等的</t>
        </is>
      </c>
      <c r="W15" s="10">
        <f>IF(V15="可忽略不计的","没有受伤",IF(V15="中等的","轻度和中度伤害",IF(V15="重大的","重伤和生命危险（可能幸存）",IF(V15="严重的","威胁生命的伤害（尚不确定生存），致命伤害"))))</f>
        <v/>
      </c>
      <c r="X15" s="10">
        <f>IF(V15="可忽略不计的",0,IF(V15="中等的",10,IF(V15="重大的",100,IF(V15="严重的",1000))))</f>
        <v/>
      </c>
      <c r="Y15" s="10" t="inlineStr">
        <is>
          <t>中等的</t>
        </is>
      </c>
      <c r="Z15" s="10">
        <f>IF(Y15="可忽略不计的","财务损失不会产生任何影响，可忽略给后果或与利益相关者无关",IF(Y15="中等的","经济损失会带来不便的后果，受影响的利益相关者将能够用有限的资源来克服这些后果",IF(Y15="重大的","经济损失导致重大后果，受影响的利益相关者将能够克服",IF(Y15="严重的","经济损失导致灾难性后果，受影响的利益相关者可能无法克服"))))</f>
        <v/>
      </c>
      <c r="AA15" s="10">
        <f>IF(Y15="可忽略不计的",0,IF(Y15="中等的","10",IF(Y15="重大的",100,IF(Y15="严重的",1000))))</f>
        <v/>
      </c>
      <c r="AB15" s="10" t="inlineStr">
        <is>
          <t>中等的</t>
        </is>
      </c>
      <c r="AC15" s="10">
        <f>IF(AB15="可忽略不计的","操作损坏不会导致车辆功能或性能下降，也不会导致性能下降",IF(AB15="中等的","操作损坏会导致车辆功能或性能的部分下降",IF(AB15="重大的","操作损坏导致车辆功能丧失",IF(AB15="严重的","操作损坏导致车辆从不希望的运行到无法运行的所有车辆不工作"))))</f>
        <v/>
      </c>
      <c r="AD15" s="10">
        <f>IF(AB15="可忽略不计的",0,IF(AB15="中等的",1,IF(AB15="重大的",10,IF(AB15="严重的",100))))</f>
        <v/>
      </c>
      <c r="AE15" s="10" t="inlineStr">
        <is>
          <t>可忽略不计的</t>
        </is>
      </c>
      <c r="AF15" s="10">
        <f>IF(AE15="可忽略不计的","隐私危害不会产生任何影响,也不会给道路使用者带来不便",IF(AE15="中等的","隐私危害给道路使用者带来极大的不便",IF(AE15="重大的","隐私危害会严重影响道路使用者",IF(AE15="严重的","隐私危害对道路使用者造成重大甚至不可逆转的影响"))))</f>
        <v/>
      </c>
      <c r="AG15" s="10">
        <f>IF(AE15="可忽略不计的",0,IF(AE15="中等的",1,IF(AE15="重大的",10,IF(AE15="严重的",100))))</f>
        <v/>
      </c>
      <c r="AH15" s="10">
        <f>SUM(X15+AA15+AD15+AG15)</f>
        <v/>
      </c>
      <c r="AI15" s="10">
        <f>IF(AH15&gt;=1000,"严重的",IF(AH15&gt;=100,"重大的",IF(AH15&gt;=20,"中等的",IF(AH15&gt;=10,"微不足道","无影响"))))</f>
        <v/>
      </c>
      <c r="AJ15" s="10">
        <f>IF(AND(AI15="无影响",U15="无"),"QM",IF(AND(AI15="无影响",U15="很低"),"QM",IF(AND(AI15="无影响",U15="低"),"QM",IF(AND(AI15="无影响",U15="中"),"QM",IF(AND(AI15="无影响",U15="高"),"Low",IF(AND(AI15="微不足道",U15="无"),"QM",IF(AND(AI15="微不足道",U15="很低"),"Low",IF(AND(AI15="微不足道",U15="低"),"Low",IF(AND(AI15="微不足道",U15="中"),"Low",IF(AND(AI15="微不足道",U15="高"),"Medium",IF(AND(AI15="中等的",U15="无"),"QM",IF(AND(AI15="中等的",U15="很低"),"Low",IF(AND(AI15="中等的",U15="低"),"Medium",IF(AND(AI15="中等的",U15="中"),"Medium",IF(AND(AI15="中等的",U15="高"),"High",IF(AND(AI15="重大的",U15="无"),"QM",IF(AND(AI15="重大的",U15="很低"),"Low",IF(AND(AI15="重大的",U15="低"),"Medium",IF(AND(AI15="重大的",U15="中"),"High",IF(AND(AI15="重大的",U15="高"),"High",IF(AND(AI15="严重的",U15="无"),"Low",IF(AND(AI15="严重的",U15="很低"),"Medium",IF(AND(AI15="严重的",U15="低"),"High",IF(AND(AI15="严重的",U15="中"),"High",IF(AND(AI15="严重的",U15="高"),"Critical")))))))))))))))))))))))))</f>
        <v/>
      </c>
      <c r="AK15" s="10">
        <f>IF(OR(AJ15="QM",AJ15="Low"),"保留风险",IF(OR(AJ15="Medium",AJ15="Critical",AJ15="High"),"降低风险","保留风险"))</f>
        <v/>
      </c>
      <c r="AL15" s="10">
        <f>IF(AK15="保留风险","/",IF(OR(AK15="降低风险",AK15="转移风险",AK15="消除风险"),"应保护"&amp;E15&amp;"的"&amp;G15,"NA"))</f>
        <v/>
      </c>
      <c r="AM15" s="10" t="inlineStr"/>
      <c r="AN15" s="10">
        <f>IF(H15="T篡改","M10",IF(H15="D拒绝服务","M13",IF(H15="I信息泄露","M12"&amp;CHAR(10)&amp;"M24",IF(H15="S欺骗","M10"&amp;CHAR(10)&amp;"M11",IF(H15="E权限提升","M8"&amp;CHAR(10)&amp;"M9",IF(H15="R抵赖","M9"&amp;CHAR(10)&amp;"M10"))))))</f>
        <v/>
      </c>
    </row>
    <row r="16">
      <c r="A16" s="9" t="inlineStr"/>
      <c r="B16" s="9" t="inlineStr"/>
      <c r="C16" s="10" t="inlineStr"/>
      <c r="D16" s="10" t="inlineStr"/>
      <c r="E16" s="10" t="inlineStr">
        <is>
          <t>OTA升级包</t>
        </is>
      </c>
      <c r="F16" s="10" t="inlineStr">
        <is>
          <t>数据存储</t>
        </is>
      </c>
      <c r="G16" s="10" t="inlineStr">
        <is>
          <t>"Integrity | 完整性"</t>
        </is>
      </c>
      <c r="H16" s="10" t="inlineStr">
        <is>
          <t>T篡改</t>
        </is>
      </c>
      <c r="I16" s="10" t="inlineStr">
        <is>
          <t>攻击者恶意篡改系统DDR中存储的OTA升级包数据，导致OTA升级失败，无法实现其正常功能</t>
        </is>
      </c>
      <c r="J16" s="10" t="inlineStr">
        <is>
          <t>1. 攻击者利用专用的转接设备连接到车辆的外部接口（如USB端口、OBD端口或JTAG口）。
2. 攻击者提取OTA升级包进行篡改并将篡改后的OTA升级包刷</t>
        </is>
      </c>
      <c r="K16" s="10" t="inlineStr">
        <is>
          <t>26.1
26.2
26.3</t>
        </is>
      </c>
      <c r="L16" s="10" t="inlineStr">
        <is>
          <t>本地</t>
        </is>
      </c>
      <c r="M16" s="10">
        <f>IF(L16="网络",0.85,IF(L16="邻居",0.62,IF(L16="本地",0.55,IF(L16="物理",0.2))))</f>
        <v/>
      </c>
      <c r="N16" s="10" t="inlineStr">
        <is>
          <t>低</t>
        </is>
      </c>
      <c r="O16" s="10">
        <f>IF(N16="低",0.77,IF(N16="高",0.44))</f>
        <v/>
      </c>
      <c r="P16" s="10" t="inlineStr">
        <is>
          <t>低</t>
        </is>
      </c>
      <c r="Q16" s="10">
        <f>IF(P16="无",0.85,IF(P16="低",0.62,IF(P16="高",0.27)))</f>
        <v/>
      </c>
      <c r="R16" s="10" t="inlineStr">
        <is>
          <t>不需要</t>
        </is>
      </c>
      <c r="S16" s="10">
        <f>IF(R16="不需要",0.85,IF(R16="需要",0.62))</f>
        <v/>
      </c>
      <c r="T16" s="10">
        <f>8.22*M16*O16*Q16*S16</f>
        <v/>
      </c>
      <c r="U16" s="10">
        <f>IF(T16&lt;=1.05,"很低",IF(T16&lt;=1.99,"低",IF(T16&lt;=2.95,"中",IF(T16&lt;=3.89,"高"))))</f>
        <v/>
      </c>
      <c r="V16" s="10" t="inlineStr">
        <is>
          <t>中等的</t>
        </is>
      </c>
      <c r="W16" s="10">
        <f>IF(V16="可忽略不计的","没有受伤",IF(V16="中等的","轻度和中度伤害",IF(V16="重大的","重伤和生命危险（可能幸存）",IF(V16="严重的","威胁生命的伤害（尚不确定生存），致命伤害"))))</f>
        <v/>
      </c>
      <c r="X16" s="10">
        <f>IF(V16="可忽略不计的",0,IF(V16="中等的",10,IF(V16="重大的",100,IF(V16="严重的",1000))))</f>
        <v/>
      </c>
      <c r="Y16" s="10" t="inlineStr">
        <is>
          <t>中等的</t>
        </is>
      </c>
      <c r="Z16" s="10">
        <f>IF(Y16="可忽略不计的","财务损失不会产生任何影响，可忽略给后果或与利益相关者无关",IF(Y16="中等的","经济损失会带来不便的后果，受影响的利益相关者将能够用有限的资源来克服这些后果",IF(Y16="重大的","经济损失导致重大后果，受影响的利益相关者将能够克服",IF(Y16="严重的","经济损失导致灾难性后果，受影响的利益相关者可能无法克服"))))</f>
        <v/>
      </c>
      <c r="AA16" s="10">
        <f>IF(Y16="可忽略不计的",0,IF(Y16="中等的","10",IF(Y16="重大的",100,IF(Y16="严重的",1000))))</f>
        <v/>
      </c>
      <c r="AB16" s="10" t="inlineStr">
        <is>
          <t>重大的</t>
        </is>
      </c>
      <c r="AC16" s="10">
        <f>IF(AB16="可忽略不计的","操作损坏不会导致车辆功能或性能下降，也不会导致性能下降",IF(AB16="中等的","操作损坏会导致车辆功能或性能的部分下降",IF(AB16="重大的","操作损坏导致车辆功能丧失",IF(AB16="严重的","操作损坏导致车辆从不希望的运行到无法运行的所有车辆不工作"))))</f>
        <v/>
      </c>
      <c r="AD16" s="10">
        <f>IF(AB16="可忽略不计的",0,IF(AB16="中等的",1,IF(AB16="重大的",10,IF(AB16="严重的",100))))</f>
        <v/>
      </c>
      <c r="AE16" s="10" t="inlineStr">
        <is>
          <t>可忽略不计的</t>
        </is>
      </c>
      <c r="AF16" s="10">
        <f>IF(AE16="可忽略不计的","隐私危害不会产生任何影响,也不会给道路使用者带来不便",IF(AE16="中等的","隐私危害给道路使用者带来极大的不便",IF(AE16="重大的","隐私危害会严重影响道路使用者",IF(AE16="严重的","隐私危害对道路使用者造成重大甚至不可逆转的影响"))))</f>
        <v/>
      </c>
      <c r="AG16" s="10">
        <f>IF(AE16="可忽略不计的",0,IF(AE16="中等的",1,IF(AE16="重大的",10,IF(AE16="严重的",100))))</f>
        <v/>
      </c>
      <c r="AH16" s="10">
        <f>SUM(X16+AA16+AD16+AG16)</f>
        <v/>
      </c>
      <c r="AI16" s="10">
        <f>IF(AH16&gt;=1000,"严重的",IF(AH16&gt;=100,"重大的",IF(AH16&gt;=20,"中等的",IF(AH16&gt;=10,"微不足道","无影响"))))</f>
        <v/>
      </c>
      <c r="AJ16" s="10">
        <f>IF(AND(AI16="无影响",U16="无"),"QM",IF(AND(AI16="无影响",U16="很低"),"QM",IF(AND(AI16="无影响",U16="低"),"QM",IF(AND(AI16="无影响",U16="中"),"QM",IF(AND(AI16="无影响",U16="高"),"Low",IF(AND(AI16="微不足道",U16="无"),"QM",IF(AND(AI16="微不足道",U16="很低"),"Low",IF(AND(AI16="微不足道",U16="低"),"Low",IF(AND(AI16="微不足道",U16="中"),"Low",IF(AND(AI16="微不足道",U16="高"),"Medium",IF(AND(AI16="中等的",U16="无"),"QM",IF(AND(AI16="中等的",U16="很低"),"Low",IF(AND(AI16="中等的",U16="低"),"Medium",IF(AND(AI16="中等的",U16="中"),"Medium",IF(AND(AI16="中等的",U16="高"),"High",IF(AND(AI16="重大的",U16="无"),"QM",IF(AND(AI16="重大的",U16="很低"),"Low",IF(AND(AI16="重大的",U16="低"),"Medium",IF(AND(AI16="重大的",U16="中"),"High",IF(AND(AI16="重大的",U16="高"),"High",IF(AND(AI16="严重的",U16="无"),"Low",IF(AND(AI16="严重的",U16="很低"),"Medium",IF(AND(AI16="严重的",U16="低"),"High",IF(AND(AI16="严重的",U16="中"),"High",IF(AND(AI16="严重的",U16="高"),"Critical")))))))))))))))))))))))))</f>
        <v/>
      </c>
      <c r="AK16" s="10">
        <f>IF(OR(AJ16="QM",AJ16="Low"),"保留风险",IF(OR(AJ16="Medium",AJ16="Critical",AJ16="High"),"降低风险","保留风险"))</f>
        <v/>
      </c>
      <c r="AL16" s="10">
        <f>IF(AK16="保留风险","/",IF(OR(AK16="降低风险",AK16="转移风险",AK16="消除风险"),"应保护"&amp;E16&amp;"的"&amp;G16,"NA"))</f>
        <v/>
      </c>
      <c r="AM16" s="10" t="inlineStr"/>
      <c r="AN16" s="10">
        <f>IF(H16="T篡改","M10",IF(H16="D拒绝服务","M13",IF(H16="I信息泄露","M12"&amp;CHAR(10)&amp;"M24",IF(H16="S欺骗","M10"&amp;CHAR(10)&amp;"M11",IF(H16="E权限提升","M8"&amp;CHAR(10)&amp;"M9",IF(H16="R抵赖","M9"&amp;CHAR(10)&amp;"M10"))))))</f>
        <v/>
      </c>
    </row>
    <row r="17">
      <c r="A17" s="9" t="inlineStr"/>
      <c r="B17" s="9" t="inlineStr"/>
      <c r="C17" s="10" t="inlineStr"/>
      <c r="D17" s="10" t="inlineStr"/>
      <c r="E17" s="10" t="inlineStr">
        <is>
          <t>OTA升级包</t>
        </is>
      </c>
      <c r="F17" s="10" t="inlineStr">
        <is>
          <t>数据存储</t>
        </is>
      </c>
      <c r="G17" s="10" t="inlineStr">
        <is>
          <t>"Confidentiality | 机密性"</t>
        </is>
      </c>
      <c r="H17" s="10" t="inlineStr">
        <is>
          <t>I信息泄露</t>
        </is>
      </c>
      <c r="I17" s="10" t="inlineStr">
        <is>
          <t>1.攻击者通过USB接口攻击多媒体主机，获得多媒体主机权限，进而攻击其他车载部件
2.读取固件应用的敏感信息
3.导致车辆敏感信息泄露</t>
        </is>
      </c>
      <c r="J17" s="10" t="inlineStr">
        <is>
          <t>1.攻击者通过USB接口攻击多媒体主机
2.访问本地存储的OTA升级包，篡改本地OTA升级包
3.导致OTA升级包泄露</t>
        </is>
      </c>
      <c r="K17" s="10" t="inlineStr">
        <is>
          <t>7.1
3.5
31.1</t>
        </is>
      </c>
      <c r="L17" s="10" t="inlineStr">
        <is>
          <t>本地</t>
        </is>
      </c>
      <c r="M17" s="10">
        <f>IF(L17="网络",0.85,IF(L17="邻居",0.62,IF(L17="本地",0.55,IF(L17="物理",0.2))))</f>
        <v/>
      </c>
      <c r="N17" s="10" t="inlineStr">
        <is>
          <t>低</t>
        </is>
      </c>
      <c r="O17" s="10">
        <f>IF(N17="低",0.77,IF(N17="高",0.44))</f>
        <v/>
      </c>
      <c r="P17" s="10" t="inlineStr">
        <is>
          <t>低</t>
        </is>
      </c>
      <c r="Q17" s="10">
        <f>IF(P17="无",0.85,IF(P17="低",0.62,IF(P17="高",0.27)))</f>
        <v/>
      </c>
      <c r="R17" s="10" t="inlineStr">
        <is>
          <t>不需要</t>
        </is>
      </c>
      <c r="S17" s="10">
        <f>IF(R17="不需要",0.85,IF(R17="需要",0.62))</f>
        <v/>
      </c>
      <c r="T17" s="10">
        <f>8.22*M17*O17*Q17*S17</f>
        <v/>
      </c>
      <c r="U17" s="10">
        <f>IF(T17&lt;=1.05,"很低",IF(T17&lt;=1.99,"低",IF(T17&lt;=2.95,"中",IF(T17&lt;=3.89,"高"))))</f>
        <v/>
      </c>
      <c r="V17" s="10" t="inlineStr">
        <is>
          <t>可忽略不计的</t>
        </is>
      </c>
      <c r="W17" s="10">
        <f>IF(V17="可忽略不计的","没有受伤",IF(V17="中等的","轻度和中度伤害",IF(V17="重大的","重伤和生命危险（可能幸存）",IF(V17="严重的","威胁生命的伤害（尚不确定生存），致命伤害"))))</f>
        <v/>
      </c>
      <c r="X17" s="10">
        <f>IF(V17="可忽略不计的",0,IF(V17="中等的",10,IF(V17="重大的",100,IF(V17="严重的",1000))))</f>
        <v/>
      </c>
      <c r="Y17" s="10" t="inlineStr">
        <is>
          <t>重大的</t>
        </is>
      </c>
      <c r="Z17" s="10">
        <f>IF(Y17="可忽略不计的","财务损失不会产生任何影响，可忽略给后果或与利益相关者无关",IF(Y17="中等的","经济损失会带来不便的后果，受影响的利益相关者将能够用有限的资源来克服这些后果",IF(Y17="重大的","经济损失导致重大后果，受影响的利益相关者将能够克服",IF(Y17="严重的","经济损失导致灾难性后果，受影响的利益相关者可能无法克服"))))</f>
        <v/>
      </c>
      <c r="AA17" s="10">
        <f>IF(Y17="可忽略不计的",0,IF(Y17="中等的","10",IF(Y17="重大的",100,IF(Y17="严重的",1000))))</f>
        <v/>
      </c>
      <c r="AB17" s="10" t="inlineStr">
        <is>
          <t>可忽略不计的</t>
        </is>
      </c>
      <c r="AC17" s="10">
        <f>IF(AB17="可忽略不计的","操作损坏不会导致车辆功能或性能下降，也不会导致性能下降",IF(AB17="中等的","操作损坏会导致车辆功能或性能的部分下降",IF(AB17="重大的","操作损坏导致车辆功能丧失",IF(AB17="严重的","操作损坏导致车辆从不希望的运行到无法运行的所有车辆不工作"))))</f>
        <v/>
      </c>
      <c r="AD17" s="10">
        <f>IF(AB17="可忽略不计的",0,IF(AB17="中等的",1,IF(AB17="重大的",10,IF(AB17="严重的",100))))</f>
        <v/>
      </c>
      <c r="AE17" s="10" t="inlineStr">
        <is>
          <t>重大的</t>
        </is>
      </c>
      <c r="AF17" s="10">
        <f>IF(AE17="可忽略不计的","隐私危害不会产生任何影响,也不会给道路使用者带来不便",IF(AE17="中等的","隐私危害给道路使用者带来极大的不便",IF(AE17="重大的","隐私危害会严重影响道路使用者",IF(AE17="严重的","隐私危害对道路使用者造成重大甚至不可逆转的影响"))))</f>
        <v/>
      </c>
      <c r="AG17" s="10">
        <f>IF(AE17="可忽略不计的",0,IF(AE17="中等的",1,IF(AE17="重大的",10,IF(AE17="严重的",100))))</f>
        <v/>
      </c>
      <c r="AH17" s="10">
        <f>SUM(X17+AA17+AD17+AG17)</f>
        <v/>
      </c>
      <c r="AI17" s="10">
        <f>IF(AH17&gt;=1000,"严重的",IF(AH17&gt;=100,"重大的",IF(AH17&gt;=20,"中等的",IF(AH17&gt;=10,"微不足道","无影响"))))</f>
        <v/>
      </c>
      <c r="AJ17" s="10">
        <f>IF(AND(AI17="无影响",U17="无"),"QM",IF(AND(AI17="无影响",U17="很低"),"QM",IF(AND(AI17="无影响",U17="低"),"QM",IF(AND(AI17="无影响",U17="中"),"QM",IF(AND(AI17="无影响",U17="高"),"Low",IF(AND(AI17="微不足道",U17="无"),"QM",IF(AND(AI17="微不足道",U17="很低"),"Low",IF(AND(AI17="微不足道",U17="低"),"Low",IF(AND(AI17="微不足道",U17="中"),"Low",IF(AND(AI17="微不足道",U17="高"),"Medium",IF(AND(AI17="中等的",U17="无"),"QM",IF(AND(AI17="中等的",U17="很低"),"Low",IF(AND(AI17="中等的",U17="低"),"Medium",IF(AND(AI17="中等的",U17="中"),"Medium",IF(AND(AI17="中等的",U17="高"),"High",IF(AND(AI17="重大的",U17="无"),"QM",IF(AND(AI17="重大的",U17="很低"),"Low",IF(AND(AI17="重大的",U17="低"),"Medium",IF(AND(AI17="重大的",U17="中"),"High",IF(AND(AI17="重大的",U17="高"),"High",IF(AND(AI17="严重的",U17="无"),"Low",IF(AND(AI17="严重的",U17="很低"),"Medium",IF(AND(AI17="严重的",U17="低"),"High",IF(AND(AI17="严重的",U17="中"),"High",IF(AND(AI17="严重的",U17="高"),"Critical")))))))))))))))))))))))))</f>
        <v/>
      </c>
      <c r="AK17" s="10">
        <f>IF(OR(AJ17="QM",AJ17="Low"),"保留风险",IF(OR(AJ17="Medium",AJ17="Critical",AJ17="High"),"降低风险","保留风险"))</f>
        <v/>
      </c>
      <c r="AL17" s="10">
        <f>IF(AK17="保留风险","/",IF(OR(AK17="降低风险",AK17="转移风险",AK17="消除风险"),"应保护"&amp;E17&amp;"的"&amp;G17,"NA"))</f>
        <v/>
      </c>
      <c r="AM17" s="10" t="inlineStr"/>
      <c r="AN17" s="10">
        <f>IF(H17="T篡改","M10",IF(H17="D拒绝服务","M13",IF(H17="I信息泄露","M12"&amp;CHAR(10)&amp;"M24",IF(H17="S欺骗","M10"&amp;CHAR(10)&amp;"M11",IF(H17="E权限提升","M8"&amp;CHAR(10)&amp;"M9",IF(H17="R抵赖","M9"&amp;CHAR(10)&amp;"M10"))))))</f>
        <v/>
      </c>
    </row>
    <row r="18">
      <c r="A18" s="9" t="inlineStr"/>
      <c r="B18" s="9" t="inlineStr"/>
      <c r="C18" s="10" t="inlineStr"/>
      <c r="D18" s="10" t="inlineStr"/>
      <c r="E18" s="10" t="inlineStr">
        <is>
          <t>OTA升级包</t>
        </is>
      </c>
      <c r="F18" s="10" t="inlineStr">
        <is>
          <t>数据存储</t>
        </is>
      </c>
      <c r="G18" s="10" t="inlineStr">
        <is>
          <t>"Elevation of Privilege | 权限提升"</t>
        </is>
      </c>
      <c r="H18" s="10" t="inlineStr">
        <is>
          <t>E权限提升</t>
        </is>
      </c>
      <c r="I18" s="10" t="inlineStr">
        <is>
          <t>攻击者越权访问存储器，使得OTA升级包存储器机密性被破坏，攻击者可根据获取的升级包进行篡改、注入等一系列活动。</t>
        </is>
      </c>
      <c r="J18" s="10" t="inlineStr">
        <is>
          <t>1. 攻击者锁定待攻击车辆，通过物理拆解取得芯片，并进行调查，了解芯片的物理结构、通讯协议等相关信息。
2. 通过观察寻找芯片可读丝印，或进行X光扫描，寻找</t>
        </is>
      </c>
      <c r="K18" s="10" t="inlineStr">
        <is>
          <t>13.1
8.1</t>
        </is>
      </c>
      <c r="L18" s="10" t="inlineStr">
        <is>
          <t>本地</t>
        </is>
      </c>
      <c r="M18" s="10">
        <f>IF(L18="网络",0.85,IF(L18="邻居",0.62,IF(L18="本地",0.55,IF(L18="物理",0.2))))</f>
        <v/>
      </c>
      <c r="N18" s="10" t="inlineStr">
        <is>
          <t>低</t>
        </is>
      </c>
      <c r="O18" s="10">
        <f>IF(N18="低",0.77,IF(N18="高",0.44))</f>
        <v/>
      </c>
      <c r="P18" s="10" t="inlineStr">
        <is>
          <t>低</t>
        </is>
      </c>
      <c r="Q18" s="10">
        <f>IF(P18="无",0.85,IF(P18="低",0.62,IF(P18="高",0.27)))</f>
        <v/>
      </c>
      <c r="R18" s="10" t="inlineStr">
        <is>
          <t>不需要</t>
        </is>
      </c>
      <c r="S18" s="10">
        <f>IF(R18="不需要",0.85,IF(R18="需要",0.62))</f>
        <v/>
      </c>
      <c r="T18" s="10">
        <f>8.22*M18*O18*Q18*S18</f>
        <v/>
      </c>
      <c r="U18" s="10">
        <f>IF(T18&lt;=1.05,"很低",IF(T18&lt;=1.99,"低",IF(T18&lt;=2.95,"中",IF(T18&lt;=3.89,"高"))))</f>
        <v/>
      </c>
      <c r="V18" s="10" t="inlineStr">
        <is>
          <t>中等的</t>
        </is>
      </c>
      <c r="W18" s="10">
        <f>IF(V18="可忽略不计的","没有受伤",IF(V18="中等的","轻度和中度伤害",IF(V18="重大的","重伤和生命危险（可能幸存）",IF(V18="严重的","威胁生命的伤害（尚不确定生存），致命伤害"))))</f>
        <v/>
      </c>
      <c r="X18" s="10">
        <f>IF(V18="可忽略不计的",0,IF(V18="中等的",10,IF(V18="重大的",100,IF(V18="严重的",1000))))</f>
        <v/>
      </c>
      <c r="Y18" s="10" t="inlineStr">
        <is>
          <t>中等的</t>
        </is>
      </c>
      <c r="Z18" s="10">
        <f>IF(Y18="可忽略不计的","财务损失不会产生任何影响，可忽略给后果或与利益相关者无关",IF(Y18="中等的","经济损失会带来不便的后果，受影响的利益相关者将能够用有限的资源来克服这些后果",IF(Y18="重大的","经济损失导致重大后果，受影响的利益相关者将能够克服",IF(Y18="严重的","经济损失导致灾难性后果，受影响的利益相关者可能无法克服"))))</f>
        <v/>
      </c>
      <c r="AA18" s="10">
        <f>IF(Y18="可忽略不计的",0,IF(Y18="中等的","10",IF(Y18="重大的",100,IF(Y18="严重的",1000))))</f>
        <v/>
      </c>
      <c r="AB18" s="10" t="inlineStr">
        <is>
          <t>重大的</t>
        </is>
      </c>
      <c r="AC18" s="10">
        <f>IF(AB18="可忽略不计的","操作损坏不会导致车辆功能或性能下降，也不会导致性能下降",IF(AB18="中等的","操作损坏会导致车辆功能或性能的部分下降",IF(AB18="重大的","操作损坏导致车辆功能丧失",IF(AB18="严重的","操作损坏导致车辆从不希望的运行到无法运行的所有车辆不工作"))))</f>
        <v/>
      </c>
      <c r="AD18" s="10">
        <f>IF(AB18="可忽略不计的",0,IF(AB18="中等的",1,IF(AB18="重大的",10,IF(AB18="严重的",100))))</f>
        <v/>
      </c>
      <c r="AE18" s="10" t="inlineStr">
        <is>
          <t>可忽略不计的</t>
        </is>
      </c>
      <c r="AF18" s="10">
        <f>IF(AE18="可忽略不计的","隐私危害不会产生任何影响,也不会给道路使用者带来不便",IF(AE18="中等的","隐私危害给道路使用者带来极大的不便",IF(AE18="重大的","隐私危害会严重影响道路使用者",IF(AE18="严重的","隐私危害对道路使用者造成重大甚至不可逆转的影响"))))</f>
        <v/>
      </c>
      <c r="AG18" s="10">
        <f>IF(AE18="可忽略不计的",0,IF(AE18="中等的",1,IF(AE18="重大的",10,IF(AE18="严重的",100))))</f>
        <v/>
      </c>
      <c r="AH18" s="10">
        <f>SUM(X18+AA18+AD18+AG18)</f>
        <v/>
      </c>
      <c r="AI18" s="10">
        <f>IF(AH18&gt;=1000,"严重的",IF(AH18&gt;=100,"重大的",IF(AH18&gt;=20,"中等的",IF(AH18&gt;=10,"微不足道","无影响"))))</f>
        <v/>
      </c>
      <c r="AJ18" s="10">
        <f>IF(AND(AI18="无影响",U18="无"),"QM",IF(AND(AI18="无影响",U18="很低"),"QM",IF(AND(AI18="无影响",U18="低"),"QM",IF(AND(AI18="无影响",U18="中"),"QM",IF(AND(AI18="无影响",U18="高"),"Low",IF(AND(AI18="微不足道",U18="无"),"QM",IF(AND(AI18="微不足道",U18="很低"),"Low",IF(AND(AI18="微不足道",U18="低"),"Low",IF(AND(AI18="微不足道",U18="中"),"Low",IF(AND(AI18="微不足道",U18="高"),"Medium",IF(AND(AI18="中等的",U18="无"),"QM",IF(AND(AI18="中等的",U18="很低"),"Low",IF(AND(AI18="中等的",U18="低"),"Medium",IF(AND(AI18="中等的",U18="中"),"Medium",IF(AND(AI18="中等的",U18="高"),"High",IF(AND(AI18="重大的",U18="无"),"QM",IF(AND(AI18="重大的",U18="很低"),"Low",IF(AND(AI18="重大的",U18="低"),"Medium",IF(AND(AI18="重大的",U18="中"),"High",IF(AND(AI18="重大的",U18="高"),"High",IF(AND(AI18="严重的",U18="无"),"Low",IF(AND(AI18="严重的",U18="很低"),"Medium",IF(AND(AI18="严重的",U18="低"),"High",IF(AND(AI18="严重的",U18="中"),"High",IF(AND(AI18="严重的",U18="高"),"Critical")))))))))))))))))))))))))</f>
        <v/>
      </c>
      <c r="AK18" s="10">
        <f>IF(OR(AJ18="QM",AJ18="Low"),"保留风险",IF(OR(AJ18="Medium",AJ18="Critical",AJ18="High"),"降低风险","保留风险"))</f>
        <v/>
      </c>
      <c r="AL18" s="10">
        <f>IF(AK18="保留风险","/",IF(OR(AK18="降低风险",AK18="转移风险",AK18="消除风险"),"应保护"&amp;E18&amp;"的"&amp;G18,"NA"))</f>
        <v/>
      </c>
      <c r="AM18" s="10" t="inlineStr"/>
      <c r="AN18" s="10">
        <f>IF(H18="T篡改","M10",IF(H18="D拒绝服务","M13",IF(H18="I信息泄露","M12"&amp;CHAR(10)&amp;"M24",IF(H18="S欺骗","M10"&amp;CHAR(10)&amp;"M11",IF(H18="E权限提升","M8"&amp;CHAR(10)&amp;"M9",IF(H18="R抵赖","M9"&amp;CHAR(10)&amp;"M10"))))))</f>
        <v/>
      </c>
    </row>
    <row r="19">
      <c r="A19" s="9" t="inlineStr">
        <is>
          <t>D006</t>
        </is>
      </c>
      <c r="B19" s="9" t="inlineStr">
        <is>
          <t>车载多媒体</t>
        </is>
      </c>
      <c r="C19" s="10" t="inlineStr">
        <is>
          <t>通讯接口</t>
        </is>
      </c>
      <c r="D19" s="10" t="inlineStr">
        <is>
          <t>无线传输</t>
        </is>
      </c>
      <c r="E19" s="10" t="inlineStr">
        <is>
          <t>BT模块控制指令</t>
        </is>
      </c>
      <c r="F19" s="10" t="inlineStr">
        <is>
          <t>数据流</t>
        </is>
      </c>
      <c r="G19" s="10" t="inlineStr">
        <is>
          <t>"Authenticity | 真实性"</t>
        </is>
      </c>
      <c r="H19" s="10" t="inlineStr">
        <is>
          <t>S欺骗</t>
        </is>
      </c>
      <c r="I19" s="10" t="inlineStr">
        <is>
          <t>攻击者恶意仿冒蓝牙模块控制指令，导致系统执行虚假的指令，破坏车辆安全。</t>
        </is>
      </c>
      <c r="J19" s="10" t="inlineStr">
        <is>
          <t>1. 攻击者锁定目标车辆，找到负责通信的零部件位置，拨开线束并拆解下零部件。
2. 利用已经找到的接口或调试点，通过飞线，使用定制转接器连接到自己的电脑设备</t>
        </is>
      </c>
      <c r="K19" s="10" t="inlineStr">
        <is>
          <t>24.1
8.1</t>
        </is>
      </c>
      <c r="L19" s="10" t="inlineStr">
        <is>
          <t>邻居</t>
        </is>
      </c>
      <c r="M19" s="10">
        <f>IF(L19="网络",0.85,IF(L19="邻居",0.62,IF(L19="本地",0.55,IF(L19="物理",0.2))))</f>
        <v/>
      </c>
      <c r="N19" s="10" t="inlineStr">
        <is>
          <t>高</t>
        </is>
      </c>
      <c r="O19" s="10">
        <f>IF(N19="低",0.77,IF(N19="高",0.44))</f>
        <v/>
      </c>
      <c r="P19" s="10" t="inlineStr">
        <is>
          <t>低</t>
        </is>
      </c>
      <c r="Q19" s="10">
        <f>IF(P19="无",0.85,IF(P19="低",0.62,IF(P19="高",0.27)))</f>
        <v/>
      </c>
      <c r="R19" s="10" t="inlineStr">
        <is>
          <t>需要</t>
        </is>
      </c>
      <c r="S19" s="10">
        <f>IF(R19="不需要",0.85,IF(R19="需要",0.62))</f>
        <v/>
      </c>
      <c r="T19" s="10">
        <f>8.22*M19*O19*Q19*S19</f>
        <v/>
      </c>
      <c r="U19" s="10">
        <f>IF(T19&lt;=1.05,"很低",IF(T19&lt;=1.99,"低",IF(T19&lt;=2.95,"中",IF(T19&lt;=3.89,"高"))))</f>
        <v/>
      </c>
      <c r="V19" s="10" t="inlineStr">
        <is>
          <t>可忽略不计的</t>
        </is>
      </c>
      <c r="W19" s="10">
        <f>IF(V19="可忽略不计的","没有受伤",IF(V19="中等的","轻度和中度伤害",IF(V19="重大的","重伤和生命危险（可能幸存）",IF(V19="严重的","威胁生命的伤害（尚不确定生存），致命伤害"))))</f>
        <v/>
      </c>
      <c r="X19" s="10">
        <f>IF(V19="可忽略不计的",0,IF(V19="中等的",10,IF(V19="重大的",100,IF(V19="严重的",1000))))</f>
        <v/>
      </c>
      <c r="Y19" s="10" t="inlineStr">
        <is>
          <t>中等的</t>
        </is>
      </c>
      <c r="Z19" s="10">
        <f>IF(Y19="可忽略不计的","财务损失不会产生任何影响，可忽略给后果或与利益相关者无关",IF(Y19="中等的","经济损失会带来不便的后果，受影响的利益相关者将能够用有限的资源来克服这些后果",IF(Y19="重大的","经济损失导致重大后果，受影响的利益相关者将能够克服",IF(Y19="严重的","经济损失导致灾难性后果，受影响的利益相关者可能无法克服"))))</f>
        <v/>
      </c>
      <c r="AA19" s="10">
        <f>IF(Y19="可忽略不计的",0,IF(Y19="中等的","10",IF(Y19="重大的",100,IF(Y19="严重的",1000))))</f>
        <v/>
      </c>
      <c r="AB19" s="10" t="inlineStr">
        <is>
          <t>中等的</t>
        </is>
      </c>
      <c r="AC19" s="10">
        <f>IF(AB19="可忽略不计的","操作损坏不会导致车辆功能或性能下降，也不会导致性能下降",IF(AB19="中等的","操作损坏会导致车辆功能或性能的部分下降",IF(AB19="重大的","操作损坏导致车辆功能丧失",IF(AB19="严重的","操作损坏导致车辆从不希望的运行到无法运行的所有车辆不工作"))))</f>
        <v/>
      </c>
      <c r="AD19" s="10">
        <f>IF(AB19="可忽略不计的",0,IF(AB19="中等的",1,IF(AB19="重大的",10,IF(AB19="严重的",100))))</f>
        <v/>
      </c>
      <c r="AE19" s="10" t="inlineStr">
        <is>
          <t>可忽略不计的</t>
        </is>
      </c>
      <c r="AF19" s="10">
        <f>IF(AE19="可忽略不计的","隐私危害不会产生任何影响,也不会给道路使用者带来不便",IF(AE19="中等的","隐私危害给道路使用者带来极大的不便",IF(AE19="重大的","隐私危害会严重影响道路使用者",IF(AE19="严重的","隐私危害对道路使用者造成重大甚至不可逆转的影响"))))</f>
        <v/>
      </c>
      <c r="AG19" s="10">
        <f>IF(AE19="可忽略不计的",0,IF(AE19="中等的",1,IF(AE19="重大的",10,IF(AE19="严重的",100))))</f>
        <v/>
      </c>
      <c r="AH19" s="10">
        <f>SUM(X19+AA19+AD19+AG19)</f>
        <v/>
      </c>
      <c r="AI19" s="10">
        <f>IF(AH19&gt;=1000,"严重的",IF(AH19&gt;=100,"重大的",IF(AH19&gt;=20,"中等的",IF(AH19&gt;=10,"微不足道","无影响"))))</f>
        <v/>
      </c>
      <c r="AJ19" s="10">
        <f>IF(AND(AI19="无影响",U19="无"),"QM",IF(AND(AI19="无影响",U19="很低"),"QM",IF(AND(AI19="无影响",U19="低"),"QM",IF(AND(AI19="无影响",U19="中"),"QM",IF(AND(AI19="无影响",U19="高"),"Low",IF(AND(AI19="微不足道",U19="无"),"QM",IF(AND(AI19="微不足道",U19="很低"),"Low",IF(AND(AI19="微不足道",U19="低"),"Low",IF(AND(AI19="微不足道",U19="中"),"Low",IF(AND(AI19="微不足道",U19="高"),"Medium",IF(AND(AI19="中等的",U19="无"),"QM",IF(AND(AI19="中等的",U19="很低"),"Low",IF(AND(AI19="中等的",U19="低"),"Medium",IF(AND(AI19="中等的",U19="中"),"Medium",IF(AND(AI19="中等的",U19="高"),"High",IF(AND(AI19="重大的",U19="无"),"QM",IF(AND(AI19="重大的",U19="很低"),"Low",IF(AND(AI19="重大的",U19="低"),"Medium",IF(AND(AI19="重大的",U19="中"),"High",IF(AND(AI19="重大的",U19="高"),"High",IF(AND(AI19="严重的",U19="无"),"Low",IF(AND(AI19="严重的",U19="很低"),"Medium",IF(AND(AI19="严重的",U19="低"),"High",IF(AND(AI19="严重的",U19="中"),"High",IF(AND(AI19="严重的",U19="高"),"Critical")))))))))))))))))))))))))</f>
        <v/>
      </c>
      <c r="AK19" s="10">
        <f>IF(OR(AJ19="QM",AJ19="Low"),"保留风险",IF(OR(AJ19="Medium",AJ19="Critical",AJ19="High"),"降低风险","保留风险"))</f>
        <v/>
      </c>
      <c r="AL19" s="10">
        <f>IF(AK19="保留风险","/",IF(OR(AK19="降低风险",AK19="转移风险",AK19="消除风险"),"应保护"&amp;E19&amp;"的"&amp;G19,"NA"))</f>
        <v/>
      </c>
      <c r="AM19" s="10" t="inlineStr"/>
      <c r="AN19" s="10">
        <f>IF(H19="T篡改","M10",IF(H19="D拒绝服务","M13",IF(H19="I信息泄露","M12"&amp;CHAR(10)&amp;"M24",IF(H19="S欺骗","M10"&amp;CHAR(10)&amp;"M11",IF(H19="E权限提升","M8"&amp;CHAR(10)&amp;"M9",IF(H19="R抵赖","M9"&amp;CHAR(10)&amp;"M10"))))))</f>
        <v/>
      </c>
    </row>
    <row r="20">
      <c r="A20" s="9" t="inlineStr"/>
      <c r="B20" s="9" t="inlineStr"/>
      <c r="C20" s="10" t="inlineStr"/>
      <c r="D20" s="10" t="inlineStr"/>
      <c r="E20" s="10" t="inlineStr">
        <is>
          <t>BT模块控制指令</t>
        </is>
      </c>
      <c r="F20" s="10" t="inlineStr">
        <is>
          <t>数据流</t>
        </is>
      </c>
      <c r="G20" s="10" t="inlineStr">
        <is>
          <t>"Non-Repudiation | 不可抵赖性"</t>
        </is>
      </c>
      <c r="H20" s="10" t="inlineStr">
        <is>
          <t>R抵赖</t>
        </is>
      </c>
      <c r="I20" s="10" t="inlineStr">
        <is>
          <t>攻击者攻击多媒体系统，发送虚假的控制指令，系统接收到错误信息无法溯源，进而影响蓝牙模块使用安全。</t>
        </is>
      </c>
      <c r="J20" s="10" t="inlineStr">
        <is>
          <t>1. 攻击者锁定目标车辆，找到负责通信的零部件位置，拨开线束并拆解下零部件。
2. 利用已经找到的接口或调试点，通过飞线，使用定制转接器连接到自己的电脑设备</t>
        </is>
      </c>
      <c r="K20" s="10" t="inlineStr">
        <is>
          <t>4.1
4.2</t>
        </is>
      </c>
      <c r="L20" s="10" t="inlineStr">
        <is>
          <t>网络</t>
        </is>
      </c>
      <c r="M20" s="10">
        <f>IF(L20="网络",0.85,IF(L20="邻居",0.62,IF(L20="本地",0.55,IF(L20="物理",0.2))))</f>
        <v/>
      </c>
      <c r="N20" s="10" t="inlineStr">
        <is>
          <t>低</t>
        </is>
      </c>
      <c r="O20" s="10">
        <f>IF(N20="低",0.77,IF(N20="高",0.44))</f>
        <v/>
      </c>
      <c r="P20" s="10" t="inlineStr">
        <is>
          <t>低</t>
        </is>
      </c>
      <c r="Q20" s="10">
        <f>IF(P20="无",0.85,IF(P20="低",0.62,IF(P20="高",0.27)))</f>
        <v/>
      </c>
      <c r="R20" s="10" t="inlineStr">
        <is>
          <t>不需要</t>
        </is>
      </c>
      <c r="S20" s="10">
        <f>IF(R20="不需要",0.85,IF(R20="需要",0.62))</f>
        <v/>
      </c>
      <c r="T20" s="10">
        <f>8.22*M20*O20*Q20*S20</f>
        <v/>
      </c>
      <c r="U20" s="10">
        <f>IF(T20&lt;=1.05,"很低",IF(T20&lt;=1.99,"低",IF(T20&lt;=2.95,"中",IF(T20&lt;=3.89,"高"))))</f>
        <v/>
      </c>
      <c r="V20" s="10" t="inlineStr">
        <is>
          <t>可忽略不计的</t>
        </is>
      </c>
      <c r="W20" s="10">
        <f>IF(V20="可忽略不计的","没有受伤",IF(V20="中等的","轻度和中度伤害",IF(V20="重大的","重伤和生命危险（可能幸存）",IF(V20="严重的","威胁生命的伤害（尚不确定生存），致命伤害"))))</f>
        <v/>
      </c>
      <c r="X20" s="10">
        <f>IF(V20="可忽略不计的",0,IF(V20="中等的",10,IF(V20="重大的",100,IF(V20="严重的",1000))))</f>
        <v/>
      </c>
      <c r="Y20" s="10" t="inlineStr">
        <is>
          <t>中等的</t>
        </is>
      </c>
      <c r="Z20" s="10">
        <f>IF(Y20="可忽略不计的","财务损失不会产生任何影响，可忽略给后果或与利益相关者无关",IF(Y20="中等的","经济损失会带来不便的后果，受影响的利益相关者将能够用有限的资源来克服这些后果",IF(Y20="重大的","经济损失导致重大后果，受影响的利益相关者将能够克服",IF(Y20="严重的","经济损失导致灾难性后果，受影响的利益相关者可能无法克服"))))</f>
        <v/>
      </c>
      <c r="AA20" s="10">
        <f>IF(Y20="可忽略不计的",0,IF(Y20="中等的","10",IF(Y20="重大的",100,IF(Y20="严重的",1000))))</f>
        <v/>
      </c>
      <c r="AB20" s="10" t="inlineStr">
        <is>
          <t>重大的</t>
        </is>
      </c>
      <c r="AC20" s="10">
        <f>IF(AB20="可忽略不计的","操作损坏不会导致车辆功能或性能下降，也不会导致性能下降",IF(AB20="中等的","操作损坏会导致车辆功能或性能的部分下降",IF(AB20="重大的","操作损坏导致车辆功能丧失",IF(AB20="严重的","操作损坏导致车辆从不希望的运行到无法运行的所有车辆不工作"))))</f>
        <v/>
      </c>
      <c r="AD20" s="10">
        <f>IF(AB20="可忽略不计的",0,IF(AB20="中等的",1,IF(AB20="重大的",10,IF(AB20="严重的",100))))</f>
        <v/>
      </c>
      <c r="AE20" s="10" t="inlineStr">
        <is>
          <t>中等的</t>
        </is>
      </c>
      <c r="AF20" s="10">
        <f>IF(AE20="可忽略不计的","隐私危害不会产生任何影响,也不会给道路使用者带来不便",IF(AE20="中等的","隐私危害给道路使用者带来极大的不便",IF(AE20="重大的","隐私危害会严重影响道路使用者",IF(AE20="严重的","隐私危害对道路使用者造成重大甚至不可逆转的影响"))))</f>
        <v/>
      </c>
      <c r="AG20" s="10">
        <f>IF(AE20="可忽略不计的",0,IF(AE20="中等的",1,IF(AE20="重大的",10,IF(AE20="严重的",100))))</f>
        <v/>
      </c>
      <c r="AH20" s="10">
        <f>SUM(X20+AA20+AD20+AG20)</f>
        <v/>
      </c>
      <c r="AI20" s="10">
        <f>IF(AH20&gt;=1000,"严重的",IF(AH20&gt;=100,"重大的",IF(AH20&gt;=20,"中等的",IF(AH20&gt;=10,"微不足道","无影响"))))</f>
        <v/>
      </c>
      <c r="AJ20" s="10">
        <f>IF(AND(AI20="无影响",U20="无"),"QM",IF(AND(AI20="无影响",U20="很低"),"QM",IF(AND(AI20="无影响",U20="低"),"QM",IF(AND(AI20="无影响",U20="中"),"QM",IF(AND(AI20="无影响",U20="高"),"Low",IF(AND(AI20="微不足道",U20="无"),"QM",IF(AND(AI20="微不足道",U20="很低"),"Low",IF(AND(AI20="微不足道",U20="低"),"Low",IF(AND(AI20="微不足道",U20="中"),"Low",IF(AND(AI20="微不足道",U20="高"),"Medium",IF(AND(AI20="中等的",U20="无"),"QM",IF(AND(AI20="中等的",U20="很低"),"Low",IF(AND(AI20="中等的",U20="低"),"Medium",IF(AND(AI20="中等的",U20="中"),"Medium",IF(AND(AI20="中等的",U20="高"),"High",IF(AND(AI20="重大的",U20="无"),"QM",IF(AND(AI20="重大的",U20="很低"),"Low",IF(AND(AI20="重大的",U20="低"),"Medium",IF(AND(AI20="重大的",U20="中"),"High",IF(AND(AI20="重大的",U20="高"),"High",IF(AND(AI20="严重的",U20="无"),"Low",IF(AND(AI20="严重的",U20="很低"),"Medium",IF(AND(AI20="严重的",U20="低"),"High",IF(AND(AI20="严重的",U20="中"),"High",IF(AND(AI20="严重的",U20="高"),"Critical")))))))))))))))))))))))))</f>
        <v/>
      </c>
      <c r="AK20" s="10">
        <f>IF(OR(AJ20="QM",AJ20="Low"),"保留风险",IF(OR(AJ20="Medium",AJ20="Critical",AJ20="High"),"降低风险","保留风险"))</f>
        <v/>
      </c>
      <c r="AL20" s="10">
        <f>IF(AK20="保留风险","/",IF(OR(AK20="降低风险",AK20="转移风险",AK20="消除风险"),"应保护"&amp;E20&amp;"的"&amp;G20,"NA"))</f>
        <v/>
      </c>
      <c r="AM20" s="10" t="inlineStr"/>
      <c r="AN20" s="10">
        <f>IF(H20="T篡改","M10",IF(H20="D拒绝服务","M13",IF(H20="I信息泄露","M12"&amp;CHAR(10)&amp;"M24",IF(H20="S欺骗","M10"&amp;CHAR(10)&amp;"M11",IF(H20="E权限提升","M8"&amp;CHAR(10)&amp;"M9",IF(H20="R抵赖","M9"&amp;CHAR(10)&amp;"M10"))))))</f>
        <v/>
      </c>
    </row>
    <row r="21">
      <c r="A21" s="9" t="inlineStr"/>
      <c r="B21" s="9" t="inlineStr"/>
      <c r="C21" s="10" t="inlineStr"/>
      <c r="D21" s="10" t="inlineStr"/>
      <c r="E21" s="10" t="inlineStr">
        <is>
          <t>BT模块控制指令</t>
        </is>
      </c>
      <c r="F21" s="10" t="inlineStr">
        <is>
          <t>数据流</t>
        </is>
      </c>
      <c r="G21" s="10" t="inlineStr">
        <is>
          <t>"Integrity | 完整性"</t>
        </is>
      </c>
      <c r="H21" s="10" t="inlineStr">
        <is>
          <t>T篡改</t>
        </is>
      </c>
      <c r="I21" s="10" t="inlineStr">
        <is>
          <t>攻击者对BT模块控制指令进行篡改，导致相关零部件收到了错误的指令，不能按预期工作。</t>
        </is>
      </c>
      <c r="J21" s="10" t="inlineStr">
        <is>
          <t>1. 攻击者锁定目标车辆，找到负责通信的零部件位置，拨开线束并拆解下零部件。
2. 利用已经找到的接口或调试点，通过飞线，使用定制转接器连接到自己的电脑设备</t>
        </is>
      </c>
      <c r="K21" s="10" t="inlineStr">
        <is>
          <t>5.2
6.2
11.3</t>
        </is>
      </c>
      <c r="L21" s="10" t="inlineStr">
        <is>
          <t>邻居</t>
        </is>
      </c>
      <c r="M21" s="10">
        <f>IF(L21="网络",0.85,IF(L21="邻居",0.62,IF(L21="本地",0.55,IF(L21="物理",0.2))))</f>
        <v/>
      </c>
      <c r="N21" s="10" t="inlineStr">
        <is>
          <t>高</t>
        </is>
      </c>
      <c r="O21" s="10">
        <f>IF(N21="低",0.77,IF(N21="高",0.44))</f>
        <v/>
      </c>
      <c r="P21" s="10" t="inlineStr">
        <is>
          <t>低</t>
        </is>
      </c>
      <c r="Q21" s="10">
        <f>IF(P21="无",0.85,IF(P21="低",0.62,IF(P21="高",0.27)))</f>
        <v/>
      </c>
      <c r="R21" s="10" t="inlineStr">
        <is>
          <t>不需要</t>
        </is>
      </c>
      <c r="S21" s="10">
        <f>IF(R21="不需要",0.85,IF(R21="需要",0.62))</f>
        <v/>
      </c>
      <c r="T21" s="10">
        <f>8.22*M21*O21*Q21*S21</f>
        <v/>
      </c>
      <c r="U21" s="10">
        <f>IF(T21&lt;=1.05,"很低",IF(T21&lt;=1.99,"低",IF(T21&lt;=2.95,"中",IF(T21&lt;=3.89,"高"))))</f>
        <v/>
      </c>
      <c r="V21" s="10" t="inlineStr">
        <is>
          <t>中等的</t>
        </is>
      </c>
      <c r="W21" s="10">
        <f>IF(V21="可忽略不计的","没有受伤",IF(V21="中等的","轻度和中度伤害",IF(V21="重大的","重伤和生命危险（可能幸存）",IF(V21="严重的","威胁生命的伤害（尚不确定生存），致命伤害"))))</f>
        <v/>
      </c>
      <c r="X21" s="10">
        <f>IF(V21="可忽略不计的",0,IF(V21="中等的",10,IF(V21="重大的",100,IF(V21="严重的",1000))))</f>
        <v/>
      </c>
      <c r="Y21" s="10" t="inlineStr">
        <is>
          <t>中等的</t>
        </is>
      </c>
      <c r="Z21" s="10">
        <f>IF(Y21="可忽略不计的","财务损失不会产生任何影响，可忽略给后果或与利益相关者无关",IF(Y21="中等的","经济损失会带来不便的后果，受影响的利益相关者将能够用有限的资源来克服这些后果",IF(Y21="重大的","经济损失导致重大后果，受影响的利益相关者将能够克服",IF(Y21="严重的","经济损失导致灾难性后果，受影响的利益相关者可能无法克服"))))</f>
        <v/>
      </c>
      <c r="AA21" s="10">
        <f>IF(Y21="可忽略不计的",0,IF(Y21="中等的","10",IF(Y21="重大的",100,IF(Y21="严重的",1000))))</f>
        <v/>
      </c>
      <c r="AB21" s="10" t="inlineStr">
        <is>
          <t>重大的</t>
        </is>
      </c>
      <c r="AC21" s="10">
        <f>IF(AB21="可忽略不计的","操作损坏不会导致车辆功能或性能下降，也不会导致性能下降",IF(AB21="中等的","操作损坏会导致车辆功能或性能的部分下降",IF(AB21="重大的","操作损坏导致车辆功能丧失",IF(AB21="严重的","操作损坏导致车辆从不希望的运行到无法运行的所有车辆不工作"))))</f>
        <v/>
      </c>
      <c r="AD21" s="10">
        <f>IF(AB21="可忽略不计的",0,IF(AB21="中等的",1,IF(AB21="重大的",10,IF(AB21="严重的",100))))</f>
        <v/>
      </c>
      <c r="AE21" s="10" t="inlineStr">
        <is>
          <t>可忽略不计的</t>
        </is>
      </c>
      <c r="AF21" s="10">
        <f>IF(AE21="可忽略不计的","隐私危害不会产生任何影响,也不会给道路使用者带来不便",IF(AE21="中等的","隐私危害给道路使用者带来极大的不便",IF(AE21="重大的","隐私危害会严重影响道路使用者",IF(AE21="严重的","隐私危害对道路使用者造成重大甚至不可逆转的影响"))))</f>
        <v/>
      </c>
      <c r="AG21" s="10">
        <f>IF(AE21="可忽略不计的",0,IF(AE21="中等的",1,IF(AE21="重大的",10,IF(AE21="严重的",100))))</f>
        <v/>
      </c>
      <c r="AH21" s="10">
        <f>SUM(X21+AA21+AD21+AG21)</f>
        <v/>
      </c>
      <c r="AI21" s="10">
        <f>IF(AH21&gt;=1000,"严重的",IF(AH21&gt;=100,"重大的",IF(AH21&gt;=20,"中等的",IF(AH21&gt;=10,"微不足道","无影响"))))</f>
        <v/>
      </c>
      <c r="AJ21" s="10">
        <f>IF(AND(AI21="无影响",U21="无"),"QM",IF(AND(AI21="无影响",U21="很低"),"QM",IF(AND(AI21="无影响",U21="低"),"QM",IF(AND(AI21="无影响",U21="中"),"QM",IF(AND(AI21="无影响",U21="高"),"Low",IF(AND(AI21="微不足道",U21="无"),"QM",IF(AND(AI21="微不足道",U21="很低"),"Low",IF(AND(AI21="微不足道",U21="低"),"Low",IF(AND(AI21="微不足道",U21="中"),"Low",IF(AND(AI21="微不足道",U21="高"),"Medium",IF(AND(AI21="中等的",U21="无"),"QM",IF(AND(AI21="中等的",U21="很低"),"Low",IF(AND(AI21="中等的",U21="低"),"Medium",IF(AND(AI21="中等的",U21="中"),"Medium",IF(AND(AI21="中等的",U21="高"),"High",IF(AND(AI21="重大的",U21="无"),"QM",IF(AND(AI21="重大的",U21="很低"),"Low",IF(AND(AI21="重大的",U21="低"),"Medium",IF(AND(AI21="重大的",U21="中"),"High",IF(AND(AI21="重大的",U21="高"),"High",IF(AND(AI21="严重的",U21="无"),"Low",IF(AND(AI21="严重的",U21="很低"),"Medium",IF(AND(AI21="严重的",U21="低"),"High",IF(AND(AI21="严重的",U21="中"),"High",IF(AND(AI21="严重的",U21="高"),"Critical")))))))))))))))))))))))))</f>
        <v/>
      </c>
      <c r="AK21" s="10">
        <f>IF(OR(AJ21="QM",AJ21="Low"),"保留风险",IF(OR(AJ21="Medium",AJ21="Critical",AJ21="High"),"降低风险","保留风险"))</f>
        <v/>
      </c>
      <c r="AL21" s="10">
        <f>IF(AK21="保留风险","/",IF(OR(AK21="降低风险",AK21="转移风险",AK21="消除风险"),"应保护"&amp;E21&amp;"的"&amp;G21,"NA"))</f>
        <v/>
      </c>
      <c r="AM21" s="10" t="inlineStr"/>
      <c r="AN21" s="10">
        <f>IF(H21="T篡改","M10",IF(H21="D拒绝服务","M13",IF(H21="I信息泄露","M12"&amp;CHAR(10)&amp;"M24",IF(H21="S欺骗","M10"&amp;CHAR(10)&amp;"M11",IF(H21="E权限提升","M8"&amp;CHAR(10)&amp;"M9",IF(H21="R抵赖","M9"&amp;CHAR(10)&amp;"M10"))))))</f>
        <v/>
      </c>
    </row>
  </sheetData>
  <mergeCells count="30">
    <mergeCell ref="P4:Q4"/>
    <mergeCell ref="V3:AI3"/>
    <mergeCell ref="A3:F3"/>
    <mergeCell ref="AL3:AN3"/>
    <mergeCell ref="R4:S4"/>
    <mergeCell ref="T4:U4"/>
    <mergeCell ref="AH4:AI4"/>
    <mergeCell ref="J4:J5"/>
    <mergeCell ref="AM4:AM5"/>
    <mergeCell ref="G3:K3"/>
    <mergeCell ref="L4:M4"/>
    <mergeCell ref="A4:A5"/>
    <mergeCell ref="G4:G5"/>
    <mergeCell ref="AK3"/>
    <mergeCell ref="I4:I5"/>
    <mergeCell ref="L3:U3"/>
    <mergeCell ref="AJ4:AJ5"/>
    <mergeCell ref="Y4:AA4"/>
    <mergeCell ref="AE4:AG4"/>
    <mergeCell ref="AL4:AL5"/>
    <mergeCell ref="A1:AN1"/>
    <mergeCell ref="B4:B5"/>
    <mergeCell ref="F4:F5"/>
    <mergeCell ref="AJ3"/>
    <mergeCell ref="H4:H5"/>
    <mergeCell ref="C4:E4"/>
    <mergeCell ref="V4:X4"/>
    <mergeCell ref="AB4:AD4"/>
    <mergeCell ref="AK4:AK5"/>
    <mergeCell ref="N4:O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2025-12-18T08:10:16Z</dcterms:created>
  <dcterms:modified xsi:type="dcterms:W3CDTF">2025-12-18T08:10:16Z</dcterms:modified>
</cp:coreProperties>
</file>