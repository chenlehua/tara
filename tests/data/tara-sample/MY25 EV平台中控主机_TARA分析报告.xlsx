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相关定义" sheetId="1" r:id="rId4"/>
    <sheet state="visible" name="2-资产列表" sheetId="2" r:id="rId5"/>
    <sheet state="visible" name="3-数据流图" sheetId="3" r:id="rId6"/>
    <sheet state="visible" name="4-攻击树图" sheetId="4" r:id="rId7"/>
    <sheet state="visible" name="5-TARA分析结果" sheetId="5" r:id="rId8"/>
  </sheets>
  <definedNames/>
  <calcPr/>
</workbook>
</file>

<file path=xl/sharedStrings.xml><?xml version="1.0" encoding="utf-8"?>
<sst xmlns="http://schemas.openxmlformats.org/spreadsheetml/2006/main" count="798" uniqueCount="442">
  <si>
    <t>车载信息娱乐系统(IVI) TARA分析报告 - 相关定义</t>
  </si>
  <si>
    <t>1. 功能描述 Functional Description</t>
  </si>
  <si>
    <t>车载信息娱乐系统(In-Vehicle Infotainment, IVI)是一种集成多媒体娱乐、导航、车辆信息显示、通信和车辆控制功能于一体的车载电子系统。
主要功能包括：
• 多媒体播放：音乐、视频、广播等媒体内容播放
• 导航系统：GPS定位、地图显示、路径规划、实时交通
• 车辆信息显示：车速、油量/电量、胎压、里程、故障提示等
• 无线连接：蓝牙(BT)手机互联、WiFi热点、4G/5G网络
• 语音交互：语音识别控制各项功能
• 车控功能：空调控制、座椅调节、车窗控制、氛围灯等
• OTA升级：远程软件/固件更新
• 远程服务：与TBox通信实现远程控制、远程诊断、车辆定位</t>
  </si>
  <si>
    <t>2. 项目边界 Item Boundary</t>
  </si>
  <si>
    <t xml:space="preserve">
┌─────────────────────────────────────────────────────────────────────────────────────┐
│                           车载信息娱乐系统 项目边界示意图                             │
│  ┌─────────────────────────────────────────────────────────────────────────────┐    │
│  │                         IVI 系统边界 (Scope Boundary)                        │    │
│  │  ┌──────────────────────────────────────────────────────────────────────┐   │    │
│  │  │                    硬件层 Hardware Layer                              │   │    │
│  │  │  ┌─────────┐ ┌─────────┐ ┌─────────┐ ┌─────────┐ ┌─────────┐        │   │    │
│  │  │  │   SOC   │ │   MCU   │ │ DDR RAM │ │ UFS ROM │ │  eMMC   │        │   │    │
│  │  │  └─────────┘ └─────────┘ └─────────┘ └─────────┘ └─────────┘        │   │    │
│  │  │  ┌─────────┐ ┌─────────┐ ┌─────────┐ ┌─────────┐                    │   │    │
│  │  │  │ BT模块  │ │ WIFI模块│ │以太网接口│ │ CAN接口 │                    │   │    │
│  │  │  └─────────┘ └─────────┘ └─────────┘ └─────────┘                    │   │    │
│  │  └──────────────────────────────────────────────────────────────────────┘   │    │
│  │                                 ↕ 内部通信                                   │    │
│  │  ┌──────────────────────────────────────────────────────────────────────┐   │    │
│  │  │                    软件层 Software Layer                              │   │    │
│  │  │  系统固件 │ 操作系统 │ 中间件 │ 应用软件 │ 安全服务 │ 配置数据        │   │    │
│  │  └──────────────────────────────────────────────────────────────────────┘   │    │
│  └─────────────────────────────────────────────────────────────────────────────┘    │
│                              ↕ 外部接口 External Interface                          │
│  ┌────────────────────────────┐  ┌────────────────────────────────────────────┐    │
│  │   外部接口 (项目边界)       │  │        外部系统 (项目范围外)                │    │
│  │  • TBox接口 (以太网/CAN)   │  │  • 云服务平台 (OTA服务器、TSP)             │    │
│  │  • OBD接口 (诊断)          │  │  • 用户手机 (蓝牙/WiFi连接)                │    │
│  │  • USB接口                 │  │  • 诊断设备                                │    │
│  │  • CAN总线接口             │  │  • 车身域控制器/网关                        │    │
│  └────────────────────────────┘  └────────────────────────────────────────────┘    │
└─────────────────────────────────────────────────────────────────────────────────────┘
</t>
  </si>
  <si>
    <t>3. 系统架构图 System Architecture</t>
  </si>
  <si>
    <t xml:space="preserve">
┌─────────────────────────────────────────────────────────────────────────────────────┐
│                           IVI 系统架构图 System Architecture                         │
│                                                                                      │
│  ┌────────────────────────────────────────────────────────────────────────────────┐ │
│  │                           应用层 Application Layer                              │ │
│  │  ┌──────────┐ ┌──────────┐ ┌──────────┐ ┌──────────┐ ┌──────────┐ ┌──────────┐│ │
│  │  │ 导航APP  │ │ 多媒体APP │ │ 蓝牙APP  │ │ 车控APP  │ │ 设置APP  │ │ OTA APP  ││ │
│  │  └──────────┘ └──────────┘ └──────────┘ └──────────┘ └──────────┘ └──────────┘│ │
│  └────────────────────────────────────────────────────────────────────────────────┘ │
│                                        ↓                                            │
│  ┌────────────────────────────────────────────────────────────────────────────────┐ │
│  │                           中间件层 Middleware Layer                             │ │
│  │  ┌──────────┐ ┌──────────┐ ┌──────────┐ ┌──────────┐ ┌──────────┐ ┌──────────┐│ │
│  │  │ 音频管理 │ │ 显示管理 │ │ 网络管理 │ │ 安全服务 │ │ 诊断服务 │ │ OTA服务  ││ │
│  │  └──────────┘ └──────────┘ └──────────┘ └──────────┘ └──────────┘ └──────────┘│ │
│  └────────────────────────────────────────────────────────────────────────────────┘ │
│                                        ↓                                            │
│  ┌────────────────────────────────────────────────────────────────────────────────┐ │
│  │                           操作系统层 OS Layer                                   │ │
│  │                    Android Automotive OS / QNX / Linux                          │ │
│  └────────────────────────────────────────────────────────────────────────────────┘ │
│                                        ↓                                            │
│  ┌────────────────────────────────────────────────────────────────────────────────┐ │
│  │                           硬件抽象层 HAL Layer                                  │ │
│  │       Audio HAL │ Display HAL │ Camera HAL │ Vehicle HAL │ Sensors HAL         │ │
│  └────────────────────────────────────────────────────────────────────────────────┘ │
│                                        ↓                                            │
│  ┌────────────────────────────────────────────────────────────────────────────────┐ │
│  │                           硬件层 Hardware Layer                                 │ │
│  │  SOC │ MCU │ DDR │ UFS │ BT │ WIFI │ Ethernet │ CAN │ USB │ Display │ Audio    │ │
│  └────────────────────────────────────────────────────────────────────────────────┘ │
└─────────────────────────────────────────────────────────────────────────────────────┘
</t>
  </si>
  <si>
    <t>4. 软件架构图 Software Architecture</t>
  </si>
  <si>
    <t xml:space="preserve">
┌─────────────────────────────────────────────────────────────────────────────────────┐
│                           IVI 软件架构图 Software Architecture                       │
│                                                                                      │
│  ┌────────────────────────────────────────────────────────────────────────────────┐ │
│  │  安全域 Secure World (ARM TrustZone)  │  普通域 Normal World                   │ │
│  │  ┌────────────────────────────────┐   │  ┌────────────────────────────────┐   │ │
│  │  │      TEE OS (OP-TEE)           │   │  │      Rich OS (Android/Linux)   │   │ │
│  │  │  ┌──────────────────────────┐  │   │  │  ┌──────────────────────────┐  │   │ │
│  │  │  │  Trusted Applications    │  │   │  │  │   User Applications      │  │   │ │
│  │  │  │  • Secure Boot           │  │   │  │  │  • 导航 Navigation       │  │   │ │
│  │  │  │  • Key Management        │  │   │  │  │  • 多媒体 Multimedia     │  │   │ │
│  │  │  │  • Crypto Services       │  │   │  │  │  • 蓝牙 Bluetooth        │  │   │ │
│  │  │  │  • Secure Storage        │  │   │  │  │  • 车控 Vehicle Control  │  │   │ │
│  │  │  │  • DRM Services          │  │   │  │  │  • OTA Update            │  │   │ │
│  │  │  └──────────────────────────┘  │   │  │  └──────────────────────────┘  │   │ │
│  │  │              ↑                 │   │  │              ↑                 │   │ │
│  │  │  ┌──────────────────────────┐  │   │  │  ┌──────────────────────────┐  │   │ │
│  │  │  │  TEE Internal API        │  │   │  │  │  System Services         │  │   │ │
│  │  │  │  (GlobalPlatform)        │  │   │  │  │  • Communication Mgr     │  │   │ │
│  │  │  └──────────────────────────┘  │   │  │  │  • Diagnostic Service    │  │   │ │
│  │  └────────────────────────────────┘   │  │  │  • Security Service      │  │   │ │
│  │              ↑                        │  │  └──────────────────────────┘  │   │ │
│  │  ┌────────────────────────────────┐   │  │              ↑                 │   │ │
│  │  │       HSM (Hardware)           │   │  │  ┌──────────────────────────┐  │   │ │
│  │  │  • Secure Key Storage          │   │  │  │  Drivers Layer           │  │   │ │
│  │  │  • Crypto Acceleration         │   │  │  │  CAN│ETH│USB│BT│WIFI│...│  │   │ │
│  │  └────────────────────────────────┘   │  │  └──────────────────────────┘  │   │ │
│  └───────────────────────────────────────┴──┴────────────────────────────────────┘ │
└─────────────────────────────────────────────────────────────────────────────────────┘
</t>
  </si>
  <si>
    <t>5. 相关项假设 Item Assumptions</t>
  </si>
  <si>
    <t>假设编号
Assumption ID</t>
  </si>
  <si>
    <t>假设描述 Assumption Description</t>
  </si>
  <si>
    <t>ASM-01</t>
  </si>
  <si>
    <t>IVI系统运行在独立的电子控制单元上，与车辆安全关键系统(如制动、转向)物理隔离</t>
  </si>
  <si>
    <t>ASM-02</t>
  </si>
  <si>
    <t>IVI系统与车身域控制器通过CAN网关进行通信，网关具备消息过滤和访问控制功能</t>
  </si>
  <si>
    <t>ASM-03</t>
  </si>
  <si>
    <t>TBox与IVI之间的通信链路为车内以太网(100BASE-T1)或CAN总线</t>
  </si>
  <si>
    <t>ASM-04</t>
  </si>
  <si>
    <t>普通用户不具备拆解IVI硬件的专业工具和能力，物理攻击需要专业设备</t>
  </si>
  <si>
    <t>ASM-05</t>
  </si>
  <si>
    <t>IVI系统具备安全启动(Secure Boot)功能，启动链完整性受硬件信任根保护</t>
  </si>
  <si>
    <t>ASM-06</t>
  </si>
  <si>
    <t>系统固件和应用软件由OEM统一管理和分发，具备代码签名机制</t>
  </si>
  <si>
    <t>ASM-07</t>
  </si>
  <si>
    <t>车辆使用期间，云服务器(TSP)持续在线提供OTA、远程诊断等服务</t>
  </si>
  <si>
    <t>ASM-08</t>
  </si>
  <si>
    <t>用户移动设备的安全性不在本分析范围内，假设手机可能被恶意软件感染</t>
  </si>
  <si>
    <t>ASM-09</t>
  </si>
  <si>
    <t>车辆网络(CAN/Ethernet)与外部网络之间存在网关隔离</t>
  </si>
  <si>
    <t>ASM-10</t>
  </si>
  <si>
    <t>诊断接口(OBD)在车辆正常使用时可被物理访问</t>
  </si>
  <si>
    <t>6. 术语表 Terminology</t>
  </si>
  <si>
    <t>缩写
Abbreviation</t>
  </si>
  <si>
    <t>英文全称 English Full Name</t>
  </si>
  <si>
    <t>中文全称 Chinese Name</t>
  </si>
  <si>
    <t>IVI</t>
  </si>
  <si>
    <t>In-Vehicle Infotainment</t>
  </si>
  <si>
    <t>车载信息娱乐系统</t>
  </si>
  <si>
    <t>TARA</t>
  </si>
  <si>
    <t>Threat Analysis and Risk Assessment</t>
  </si>
  <si>
    <t>威胁分析与风险评估</t>
  </si>
  <si>
    <t>SOC</t>
  </si>
  <si>
    <t>System on Chip</t>
  </si>
  <si>
    <t>片上系统</t>
  </si>
  <si>
    <t>MCU</t>
  </si>
  <si>
    <t>Microcontroller Unit</t>
  </si>
  <si>
    <t>微控制器单元</t>
  </si>
  <si>
    <t>DDR RAM</t>
  </si>
  <si>
    <t>Double Data Rate Random Access Memory</t>
  </si>
  <si>
    <t>双倍数据率随机存取存储器</t>
  </si>
  <si>
    <t>UFS ROM</t>
  </si>
  <si>
    <t>Universal Flash Storage</t>
  </si>
  <si>
    <t>通用闪存存储</t>
  </si>
  <si>
    <t>BT</t>
  </si>
  <si>
    <t>Bluetooth</t>
  </si>
  <si>
    <t>蓝牙</t>
  </si>
  <si>
    <t>WIFI</t>
  </si>
  <si>
    <t>Wireless Fidelity</t>
  </si>
  <si>
    <t>无线保真/无线网络</t>
  </si>
  <si>
    <t>TBox</t>
  </si>
  <si>
    <t>Telematics Box</t>
  </si>
  <si>
    <t>车载终端/远程信息处理器</t>
  </si>
  <si>
    <t>OBD</t>
  </si>
  <si>
    <t>On-Board Diagnostics</t>
  </si>
  <si>
    <t>车载诊断系统</t>
  </si>
  <si>
    <t>CAN</t>
  </si>
  <si>
    <t>Controller Area Network</t>
  </si>
  <si>
    <t>控制器局域网</t>
  </si>
  <si>
    <t>OTA</t>
  </si>
  <si>
    <t>Over-The-Air</t>
  </si>
  <si>
    <t>空中下载/远程升级</t>
  </si>
  <si>
    <t>TEE</t>
  </si>
  <si>
    <t>Trusted Execution Environment</t>
  </si>
  <si>
    <t>可信执行环境</t>
  </si>
  <si>
    <t>HSM</t>
  </si>
  <si>
    <t>Hardware Security Module</t>
  </si>
  <si>
    <t>硬件安全模块</t>
  </si>
  <si>
    <t>PKI</t>
  </si>
  <si>
    <t>Public Key Infrastructure</t>
  </si>
  <si>
    <t>公钥基础设施</t>
  </si>
  <si>
    <t>STRIDE</t>
  </si>
  <si>
    <t>Spoofing,Tampering,Repudiation,Information Disclosure,DoS,EoP</t>
  </si>
  <si>
    <t>欺骗、篡改、抵赖、信息泄露、拒绝服务、权限提升</t>
  </si>
  <si>
    <t>WP29</t>
  </si>
  <si>
    <t>World Forum for Harmonization of Vehicle Regulations</t>
  </si>
  <si>
    <t>世界车辆法规协调论坛</t>
  </si>
  <si>
    <t>SecOC</t>
  </si>
  <si>
    <t>Secure Onboard Communication</t>
  </si>
  <si>
    <t>安全车载通信</t>
  </si>
  <si>
    <t>UDS</t>
  </si>
  <si>
    <t>Unified Diagnostic Services</t>
  </si>
  <si>
    <t>统一诊断服务</t>
  </si>
  <si>
    <t>DoIP</t>
  </si>
  <si>
    <t>Diagnostics over IP</t>
  </si>
  <si>
    <t>基于IP的诊断</t>
  </si>
  <si>
    <t>车载信息娱乐系统(IVI) - 资产列表 Asset List</t>
  </si>
  <si>
    <t>Asset Identification 资产识别</t>
  </si>
  <si>
    <t>Cybersecurity Attributes 网络安全属性</t>
  </si>
  <si>
    <t>资产ID
Asset ID</t>
  </si>
  <si>
    <t>资产名称
Asset Name</t>
  </si>
  <si>
    <t>分类
Category</t>
  </si>
  <si>
    <t>备注
Remarks</t>
  </si>
  <si>
    <t>真实性
Authenticity</t>
  </si>
  <si>
    <t>完整性
Integrity</t>
  </si>
  <si>
    <t>不可抵赖性
Non-repudiation</t>
  </si>
  <si>
    <t>机密性
Confidentiality</t>
  </si>
  <si>
    <t>可用性
Availability</t>
  </si>
  <si>
    <t>权限
Authorization</t>
  </si>
  <si>
    <t>A-001</t>
  </si>
  <si>
    <t>SOC (高通SA8155P)</t>
  </si>
  <si>
    <t>内部实体</t>
  </si>
  <si>
    <t>主处理器芯片，运行Android Automotive OS</t>
  </si>
  <si>
    <t>√</t>
  </si>
  <si>
    <t>A-002</t>
  </si>
  <si>
    <t>MCU (NXP S32G274)</t>
  </si>
  <si>
    <t>安全微控制器，负责车控通信与安全功能</t>
  </si>
  <si>
    <t>A-003</t>
  </si>
  <si>
    <t>DDR RAM (8GB)</t>
  </si>
  <si>
    <t>LPDDR4X双通道内存</t>
  </si>
  <si>
    <t>A-004</t>
  </si>
  <si>
    <t>UFS ROM (128GB)</t>
  </si>
  <si>
    <t>系统存储芯片，存储OS和应用</t>
  </si>
  <si>
    <t>A-005</t>
  </si>
  <si>
    <t>BT模块</t>
  </si>
  <si>
    <t>蓝牙5.2模块，支持A2DP/HFP/AVRCP</t>
  </si>
  <si>
    <t>A-006</t>
  </si>
  <si>
    <t>WIFI模块</t>
  </si>
  <si>
    <t>WiFi 6双频模块(2.4G/5G)</t>
  </si>
  <si>
    <t>A-007</t>
  </si>
  <si>
    <t>以太网接口</t>
  </si>
  <si>
    <t>100BASE-T1车载以太网PHY</t>
  </si>
  <si>
    <t>A-008</t>
  </si>
  <si>
    <t>CAN接口</t>
  </si>
  <si>
    <t>CAN FD控制器接口</t>
  </si>
  <si>
    <t>A-009</t>
  </si>
  <si>
    <t>系统固件</t>
  </si>
  <si>
    <t>固件及应用</t>
  </si>
  <si>
    <t>Bootloader、TF-A、TEE OS等</t>
  </si>
  <si>
    <t>A-010</t>
  </si>
  <si>
    <t>操作系统</t>
  </si>
  <si>
    <t>Android Automotive OS内核及框架</t>
  </si>
  <si>
    <t>A-011</t>
  </si>
  <si>
    <t>应用软件</t>
  </si>
  <si>
    <t>导航、多媒体、车控等用户APP</t>
  </si>
  <si>
    <t>A-012</t>
  </si>
  <si>
    <t>车控指令</t>
  </si>
  <si>
    <t>数据流</t>
  </si>
  <si>
    <t>发送至车身控制器的控制指令</t>
  </si>
  <si>
    <t>A-013</t>
  </si>
  <si>
    <t>诊断数据</t>
  </si>
  <si>
    <t>UDS诊断协议数据流</t>
  </si>
  <si>
    <t>A-014</t>
  </si>
  <si>
    <t>OTA升级包</t>
  </si>
  <si>
    <t>远程固件/软件升级数据包</t>
  </si>
  <si>
    <t>A-015</t>
  </si>
  <si>
    <t>多媒体流</t>
  </si>
  <si>
    <t>音视频流媒体数据</t>
  </si>
  <si>
    <t>A-016</t>
  </si>
  <si>
    <t>未知信息请求</t>
  </si>
  <si>
    <t>来源不明的外部数据请求</t>
  </si>
  <si>
    <t>A-017</t>
  </si>
  <si>
    <t>安全密钥</t>
  </si>
  <si>
    <t>数据存储</t>
  </si>
  <si>
    <t>Secure Boot密钥、TLS证书、加密密钥</t>
  </si>
  <si>
    <t>A-018</t>
  </si>
  <si>
    <t>配置信息</t>
  </si>
  <si>
    <t>系统配置、用户偏好、网络设置</t>
  </si>
  <si>
    <t>A-019</t>
  </si>
  <si>
    <t>用户数据</t>
  </si>
  <si>
    <t>导航历史、通讯录、账户信息</t>
  </si>
  <si>
    <t>A-020</t>
  </si>
  <si>
    <t>车辆信息</t>
  </si>
  <si>
    <t>VIN、里程、故障码等车辆数据</t>
  </si>
  <si>
    <t>A-021</t>
  </si>
  <si>
    <t>外部实体</t>
  </si>
  <si>
    <t>车载终端，4G/5G通信网关</t>
  </si>
  <si>
    <t>A-022</t>
  </si>
  <si>
    <t>OBD接口</t>
  </si>
  <si>
    <t>车载诊断接口(OBD-II)</t>
  </si>
  <si>
    <t>A-023</t>
  </si>
  <si>
    <t>云服务器</t>
  </si>
  <si>
    <t>OTA服务器、TSP平台</t>
  </si>
  <si>
    <t>A-024</t>
  </si>
  <si>
    <t>用户手机</t>
  </si>
  <si>
    <t>通过BT/WiFi连接的移动设备</t>
  </si>
  <si>
    <t>A-025</t>
  </si>
  <si>
    <t>USB设备</t>
  </si>
  <si>
    <t>U盘、手机等USB外设</t>
  </si>
  <si>
    <t>A-026</t>
  </si>
  <si>
    <t>车身控制器</t>
  </si>
  <si>
    <t>BCM/网关等车身域控制器</t>
  </si>
  <si>
    <t>图例 Legend：</t>
  </si>
  <si>
    <t>表示该资产需要保护此网络安全属性 Indicates this cybersecurity attribute needs protection</t>
  </si>
  <si>
    <t>分类说明 Category Description：</t>
  </si>
  <si>
    <t>内部实体 Internal Entity</t>
  </si>
  <si>
    <t>IVI系统内部的硬件组件</t>
  </si>
  <si>
    <t>固件及应用 Firmware &amp; Application</t>
  </si>
  <si>
    <t>系统软件、固件、应用程序</t>
  </si>
  <si>
    <t>数据流 Data Flow</t>
  </si>
  <si>
    <t>系统间传输的数据</t>
  </si>
  <si>
    <t>数据存储 Data Store</t>
  </si>
  <si>
    <t>存储在系统中的数据</t>
  </si>
  <si>
    <t>外部实体 External Entity</t>
  </si>
  <si>
    <t>与IVI交互的外部系统或设备</t>
  </si>
  <si>
    <t>车载信息娱乐系统(IVI) - 数据流图 Data Flow Diagram</t>
  </si>
  <si>
    <t xml:space="preserve">
┌──────────────────────────────────────────────────────────────────────────────────────────────────────────────┐
│                                    IVI系统数据流图 Data Flow Diagram (Level 0)                                │
│                                                                                                               │
│     ┌─────────────┐                                                              ┌─────────────┐             │
│     │ 云服务器    │                                                              │  车身控制器  │             │
│     │ Cloud Server│                                                              │  BCM/Gateway│             │
│     │    (E1)     │                                                              │    (E6)     │             │
│     └──────┬──────┘                                                              └──────┬──────┘             │
│            │                                                                            │                     │
│            │ DF1: OTA升级包                                                             │ DF9: CAN车控指令     │
│            │ DF2: 远程配置                                                              │ DF10: 车辆状态      │
│            ↓                                                                            ↑                     │
│     ┌─────────────┐         DF3: 远程指令          ╔════════════════════════════════════════════════╗        │
│     │   TBox      │ ─────────────────────────────→ ║                                                ║        │
│     │ Telematics  │ ←───────────────────────────── ║           IVI 主系统                           ║        │
│     │    (E2)     │         DF4: 状态上报          ║         IVI Main System                        ║        │
│     └─────────────┘                                ║                                                ║        │
│                                                    ║  ┌────────────────────────────────────────┐    ║        │
│     ┌─────────────┐         DF5: 蓝牙音频/电话     ║  │         P1: SOC 主处理器                │    ║        │
│     │  用户手机   │ ─────────────────────────────→ ║  │         Main Processor                 │    ║        │
│     │ User Phone  │ ←───────────────────────────── ║  │  ┌────────┐  ┌────────┐  ┌────────┐   │    ║        │
│     │    (E3)     │         DF6: 联系人/通知       ║  │  │ D1:配置│  │ D2:密钥│  │D3:用户 │   │    ║ ──────→│
│     └─────────────┘                                ║  │  │  数据  │  │  存储  │  │  数据  │   │    ║        │
│                                                    ║  │  └────────┘  └────────┘  └────────┘   │    ║        │
│     ┌─────────────┐         DF7: 诊断请求          ║  │                    ↕                   │    ║        │
│     │  诊断设备   │ ─────────────────────────────→ ║  │         ┌────────────────────┐        │    ║        │
│     │ Diagnostic  │ ←───────────────────────────── ║  │         │   P2: MCU 安全控制  │        │    ║        │
│     │ Tool (E4)   │         DF8: 诊断响应          ║  │         │   Safety Controller │        │    ║        │
│     └─────────────┘                                ║  │         └────────────────────┘        │    ║        │
│                                                    ║  └────────────────────────────────────────┘    ║        │
│     ┌─────────────┐         DF11: 媒体文件         ║                                                ║        │
│     │  USB设备    │ ─────────────────────────────→ ║                                                ║        │
│     │ USB Device  │                                ╚════════════════════════════════════════════════╝        │
│     │    (E5)     │                                                                                           │
│     └─────────────┘                                                                                           │
│                                                                                                               │
│  图例 Legend:  ═══ 信任边界 Trust Boundary    ───→ 数据流 Data Flow    [ ] 处理 Process    (Dx) 数据存储      │
└──────────────────────────────────────────────────────────────────────────────────────────────────────────────┘
</t>
  </si>
  <si>
    <t>数据流清单 Data Flow List</t>
  </si>
  <si>
    <t>数据流ID
DF ID</t>
  </si>
  <si>
    <t>数据流名称
Data Flow Name</t>
  </si>
  <si>
    <t>源实体
Source</t>
  </si>
  <si>
    <t>目标实体
Destination</t>
  </si>
  <si>
    <t>数据类型
Data Type</t>
  </si>
  <si>
    <t>协议
Protocol</t>
  </si>
  <si>
    <t>加密
Encryption</t>
  </si>
  <si>
    <t>认证
Authentication</t>
  </si>
  <si>
    <t>说明
Description</t>
  </si>
  <si>
    <t>DF-01</t>
  </si>
  <si>
    <t>IVI-SOC</t>
  </si>
  <si>
    <t>固件/软件包</t>
  </si>
  <si>
    <t>HTTPS/TLS1.3</t>
  </si>
  <si>
    <t>远程软件升级数据</t>
  </si>
  <si>
    <t>DF-02</t>
  </si>
  <si>
    <t>远程配置</t>
  </si>
  <si>
    <t>配置数据</t>
  </si>
  <si>
    <t>云端下发配置</t>
  </si>
  <si>
    <t>DF-03</t>
  </si>
  <si>
    <t>远程指令</t>
  </si>
  <si>
    <t>控制指令</t>
  </si>
  <si>
    <t>DoIP/SecOC</t>
  </si>
  <si>
    <t>远程车控指令</t>
  </si>
  <si>
    <t>DF-04</t>
  </si>
  <si>
    <t>状态上报</t>
  </si>
  <si>
    <t>状态数据</t>
  </si>
  <si>
    <t>车辆状态上报</t>
  </si>
  <si>
    <t>DF-05</t>
  </si>
  <si>
    <t>蓝牙音频</t>
  </si>
  <si>
    <t>手机</t>
  </si>
  <si>
    <t>音频流</t>
  </si>
  <si>
    <t>BT A2DP</t>
  </si>
  <si>
    <t>蓝牙音频传输</t>
  </si>
  <si>
    <t>DF-06</t>
  </si>
  <si>
    <t>联系人同步</t>
  </si>
  <si>
    <t>通讯录</t>
  </si>
  <si>
    <t>BT PBAP</t>
  </si>
  <si>
    <t>蓝牙通讯录同步</t>
  </si>
  <si>
    <t>DF-07</t>
  </si>
  <si>
    <t>诊断请求</t>
  </si>
  <si>
    <t>诊断设备</t>
  </si>
  <si>
    <t>IVI-MCU</t>
  </si>
  <si>
    <t>UDS请求</t>
  </si>
  <si>
    <t>DoIP/CAN</t>
  </si>
  <si>
    <t>诊断服务请求</t>
  </si>
  <si>
    <t>DF-08</t>
  </si>
  <si>
    <t>诊断响应</t>
  </si>
  <si>
    <t>UDS响应</t>
  </si>
  <si>
    <t>诊断服务响应</t>
  </si>
  <si>
    <t>DF-09</t>
  </si>
  <si>
    <t>CAN车控</t>
  </si>
  <si>
    <t>CAN信号</t>
  </si>
  <si>
    <t>CAN/SecOC</t>
  </si>
  <si>
    <t>车身控制指令</t>
  </si>
  <si>
    <t>DF-10</t>
  </si>
  <si>
    <t>车辆状态</t>
  </si>
  <si>
    <t>车辆状态信息</t>
  </si>
  <si>
    <t>DF-11</t>
  </si>
  <si>
    <t>USB媒体</t>
  </si>
  <si>
    <t>媒体文件</t>
  </si>
  <si>
    <t>USB MSC</t>
  </si>
  <si>
    <t>U盘媒体文件</t>
  </si>
  <si>
    <t>车载信息娱乐系统(IVI) - 攻击树分析 Attack Tree Analysis</t>
  </si>
  <si>
    <t>攻击树1 Attack Tree 1: 远程入侵IVI系统 Remote Compromise of IVI System</t>
  </si>
  <si>
    <t xml:space="preserve">
                                        ┌─────────────────────────────────┐
                                        │     【攻击目标 Attack Goal】     │
                                        │     远程入侵IVI系统              │
                                        │     Remote Compromise IVI       │
                                        └────────────────┬────────────────┘
                                                         │
                     ┌───────────────────────────────────┼───────────────────────────────────┐
                     │                                   │                                   │
         ┌───────────┴───────────┐           ┌───────────┴───────────┐           ┌───────────┴───────────┐
         │ [OR] 通过TBox入侵     │           │ [OR] 通过WiFi入侵     │           │ [OR] 通过云服务入侵   │
         │ Via TBox (AT1.1)      │           │ Via WiFi (AT1.2)      │           │ Via Cloud (AT1.3)     │
         └───────────┬───────────┘           └───────────┬───────────┘           └───────────┬───────────┘
                     │                                   │                                   │
     ┌───────────────┼───────────────┐       ┌───────────┼───────────┐       ┌───────────────┼───────────────┐
     │               │               │       │           │           │       │               │               │
┌────┴────┐    ┌─────┴─────┐   ┌─────┴─────┐ │     ┌─────┴─────┐     │ ┌─────┴─────┐   ┌─────┴─────┐   ┌─────┴─────┐
│ 利用4G  │    │ 伪造远程  │   │ TBox固件  │ │     │ WiFi协议  │     │ │ 伪造OTA   │   │ 中间人    │   │ 云服务器  │
│ 协议漏洞│    │ 控制指令  │   │ 漏洞利用  │ │     │ 漏洞利用  │     │ │ 升级包    │   │ 攻击MITM  │   │ 被攻陷    │
│(1.1.1)  │    │ (1.1.2)   │   │ (1.1.3)   │ │     │ (1.2.1)   │     │ │ (1.3.1)   │   │ (1.3.2)   │   │ (1.3.3)   │
└─────────┘    └───────────┘   └───────────┘ │     └───────────┘     │ └───────────┘   └───────────┘   └───────────┘
                                             │           │           │
                                       ┌─────┴─────┐┌────┴────┐┌─────┴─────┐
                                       │ 恶意WiFi  ││连接恶意 ││ 无线监听  │
                                       │ AP欺骗   ││ 热点    ││ 数据窃取  │
                                       │ (1.2.2)  ││(1.2.3)  ││ (1.2.4)   │
                                       └──────────┘└─────────┘└───────────┘
</t>
  </si>
  <si>
    <t>攻击树2 Attack Tree 2: 物理接口攻击 Physical Interface Attack</t>
  </si>
  <si>
    <t xml:space="preserve">
                                        ┌─────────────────────────────────┐
                                        │     【攻击目标 Attack Goal】     │
                                        │     物理接口攻击IVI系统          │
                                        │     Physical Attack on IVI      │
                                        └────────────────┬────────────────┘
                                                         │
                     ┌───────────────────────────────────┼───────────────────────────────────┐
                     │                                   │                                   │
         ┌───────────┴───────────┐           ┌───────────┴───────────┐           ┌───────────┴───────────┐
         │ [OR] OBD接口攻击      │           │ [OR] USB接口攻击      │           │ [OR] CAN总线攻击      │
         │ Via OBD (AT2.1)       │           │ Via USB (AT2.2)       │           │ Via CAN (AT2.3)       │
         └───────────┬───────────┘           └───────────┬───────────┘           └───────────┬───────────┘
                     │                                   │                                   │
     ┌───────────────┼───────────────┐       ┌───────────┼───────────┐       ┌───────────────┼───────────────┐
     │               │               │       │           │           │       │               │               │
┌────┴────┐    ┌─────┴─────┐   ┌─────┴─────┐┌────┴────┐┌────┴────┐┌────┴────┐┌────┴────┐   ┌─────┴─────┐   ┌─────┴─────┐
│非授权   │    │ 注入恶意  │   │ 读取敏感  ││恶意U盘  ││固件刷写 ││USB漏洞  ││CAN报文  │   │ CAN DoS   │   │ CAN中间人 │
│诊断访问 │    │ 诊断指令  │   │ 诊断数据  ││感染病毒 ││攻击     ││利用     ││注入伪造 │   │ 攻击      │   │ 攻击      │
│(2.1.1)  │    │ (2.1.2)   │   │ (2.1.3)   ││(2.2.1)  ││(2.2.2)  ││(2.2.3)  ││(2.3.1)  │   │ (2.3.2)   │   │ (2.3.3)   │
└─────────┘    └───────────┘   └───────────┘└─────────┘└─────────┘└─────────┘└─────────┘   └───────────┘   └───────────┘
</t>
  </si>
  <si>
    <t>攻击树3 Attack Tree 3: 数据窃取 Data Theft</t>
  </si>
  <si>
    <t xml:space="preserve">
                                        ┌─────────────────────────────────┐
                                        │     【攻击目标 Attack Goal】     │
                                        │     窃取IVI系统敏感数据          │
                                        │     Steal Sensitive Data        │
                                        └────────────────┬────────────────┘
                                                         │
                     ┌───────────────────────────────────┼───────────────────────────────────┐
                     │                                   │                                   │
         ┌───────────┴───────────┐           ┌───────────┴───────────┐           ┌───────────┴───────────┐
         │ [OR] 窃取用户数据     │           │ [OR] 窃取车辆信息     │           │ [OR] 窃取安全凭证     │
         │ User Data (AT3.1)     │           │ Vehicle Info (AT3.2)  │           │ Credentials (AT3.3)   │
         └───────────┬───────────┘           └───────────┬───────────┘           └───────────┬───────────┘
                     │                                   │                                   │
     ┌───────────────┼───────────────┐       ┌───────────┼───────────┐       ┌───────────────┼───────────────┐
     │               │               │       │           │           │       │               │               │
┌────┴────┐    ┌─────┴─────┐   ┌─────┴─────┐┌────┴────┐┌────┴────┐┌────┴────┐┌────┴────┐   ┌─────┴─────┐   ┌─────┴─────┐
│导航轨迹 │    │ 通讯录    │   │ 账户信息  ││VIN信息  ││里程篡改 ││故障码   ││提取证书 │   │ 密钥窃取  │   │ 令牌劫持  │
│位置信息 │    │ 个人信息  │   │ 凭证窃取  ││泄露     ││读取     ││泄露     ││(3.3.1)  │   │ (3.3.2)   │   │ (3.3.3)   │
│(3.1.1)  │    │ (3.1.2)   │   │ (3.1.3)   ││(3.2.1)  ││(3.2.2)  ││(3.2.3)  │└─────────┘   └───────────┘   └───────────┘
└─────────┘    └───────────┘   └───────────┘└─────────┘└─────────┘└─────────┘
</t>
  </si>
  <si>
    <t>攻击树4 Attack Tree 4: 恶意车辆控制 Malicious Vehicle Control</t>
  </si>
  <si>
    <t xml:space="preserve">
                                        ┌─────────────────────────────────┐
                                        │     【攻击目标 Attack Goal】     │
                                        │     恶意控制车辆功能             │
                                        │     Malicious Vehicle Control   │
                                        └────────────────┬────────────────┘
                                                         │
                     ┌───────────────────────────────────┼───────────────────────────────────┐
                     │                                   │                                   │
         ┌───────────┴───────────┐           ┌───────────┴───────────┐           ┌───────────┴───────────┐
         │ [OR] 远程车控攻击     │           │ [OR] 本地车控攻击     │           │ [OR] 供应链攻击       │
         │ Remote Control(AT4.1)│           │ Local Control(AT4.2)  │           │ Supply Chain(AT4.3)   │
         └───────────┬───────────┘           └───────────┬───────────┘           └───────────┬───────────┘
                     │                                   │                                   │
     ┌───────────────┼───────────────┐       ┌───────────┼───────────┐       ┌───────────────┼───────────────┐
     │               │               │       │           │           │       │               │               │
┌────┴────┐    ┌─────┴─────┐   ┌─────┴─────┐┌────┴────┐┌────┴────┐┌────┴────┐┌────┴────┐   ┌─────┴─────┐   ┌─────┴─────┐
│伪造车控 │    │ 重放攻击  │   │ 会话劫持  ││APP提权  ││IVI越权  ││物理篡改 ││恶意固件 │   │ 后门植入  │   │ 供应商   │
│指令     │    │ 历史指令  │   │ 接管会话  ││车控     ││车控指令 ││MCU      ││植入     │   │ (4.3.2)   │   │ 被攻陷   │
│(4.1.1)  │    │ (4.1.2)   │   │ (4.1.3)   ││(4.2.1)  ││(4.2.2)  ││(4.2.3)  ││(4.3.1)  │   └───────────┘   │ (4.3.3)  │
└─────────┘    └───────────┘   └───────────┘└─────────┘└─────────┘└─────────┘└─────────┘                   └───────────┘
</t>
  </si>
  <si>
    <t>攻击路径摘要 Attack Path Summary</t>
  </si>
  <si>
    <t>攻击树ID
AT ID</t>
  </si>
  <si>
    <t>攻击目标
Attack Goal</t>
  </si>
  <si>
    <t>主要攻击路径
Main Attack Paths</t>
  </si>
  <si>
    <t>涉及资产
Affected Assets</t>
  </si>
  <si>
    <t>威胁等级
Threat Level</t>
  </si>
  <si>
    <t>AT1</t>
  </si>
  <si>
    <t>远程入侵IVI系统</t>
  </si>
  <si>
    <t>TBox入侵、WiFi入侵、云服务入侵</t>
  </si>
  <si>
    <t>TBox, WIFI模块, SOC, 云服务器</t>
  </si>
  <si>
    <t>High 高</t>
  </si>
  <si>
    <t>AT2</t>
  </si>
  <si>
    <t>物理接口攻击</t>
  </si>
  <si>
    <t>OBD接口、USB接口、CAN总线攻击</t>
  </si>
  <si>
    <t>OBD接口, USB设备, CAN接口, MCU</t>
  </si>
  <si>
    <t>Medium 中</t>
  </si>
  <si>
    <t>AT3</t>
  </si>
  <si>
    <t>数据窃取</t>
  </si>
  <si>
    <t>用户数据、车辆信息、安全凭证窃取</t>
  </si>
  <si>
    <t>UFS ROM, 配置信息, 安全密钥, 用户数据</t>
  </si>
  <si>
    <t>AT4</t>
  </si>
  <si>
    <t>恶意车辆控制</t>
  </si>
  <si>
    <t>远程车控、本地车控、供应链攻击</t>
  </si>
  <si>
    <t>车控指令, MCU, 系统固件, 车身控制器</t>
  </si>
  <si>
    <t>车载信息娱乐系统(IVI) - TARA分析结果 TARA Analysis Results</t>
  </si>
  <si>
    <t>Asset Identification资产识别</t>
  </si>
  <si>
    <t>Threat &amp; Damage Scenario
威胁&amp;损害场景</t>
  </si>
  <si>
    <t>Threat Analysis
威胁分析</t>
  </si>
  <si>
    <t>Impact Analysis
影响分析</t>
  </si>
  <si>
    <t>Risk Assessment
风险评估</t>
  </si>
  <si>
    <t>Risk Treatment
风险处置</t>
  </si>
  <si>
    <t>Risk Mitigation
风险缓解</t>
  </si>
  <si>
    <t>Asset
ID
资产ID</t>
  </si>
  <si>
    <t>Asset Name
资产名称</t>
  </si>
  <si>
    <t>细分类</t>
  </si>
  <si>
    <t>Category
分类</t>
  </si>
  <si>
    <t>Security Attributes
安全属性</t>
  </si>
  <si>
    <t>STRIDE Model
STRIDE模型</t>
  </si>
  <si>
    <t>Potential Threat and Damage Scenario
潜在威胁和损害场景</t>
  </si>
  <si>
    <t>Attack Path
攻击路径</t>
  </si>
  <si>
    <t xml:space="preserve">来源
</t>
  </si>
  <si>
    <t>Attack Vector(V)
攻击向量</t>
  </si>
  <si>
    <t>Attack Complexity(C)
攻击复杂度</t>
  </si>
  <si>
    <t>Privileges Required(P)
权限要求</t>
  </si>
  <si>
    <t>User Interaction(U)
用户交互</t>
  </si>
  <si>
    <t>Attack Feasibility
攻击可行性计算</t>
  </si>
  <si>
    <t>Safety
安全</t>
  </si>
  <si>
    <t>Financial
经济</t>
  </si>
  <si>
    <t>Operational
操作</t>
  </si>
  <si>
    <t>Privacy &amp; Legislation
隐私和法律</t>
  </si>
  <si>
    <t>Impact Level Calculation
影响等级计算</t>
  </si>
  <si>
    <t>Risk Level
风险等级</t>
  </si>
  <si>
    <t>Risk Treatment Decision
风险处置决策</t>
  </si>
  <si>
    <t>Security Goal
安全目标</t>
  </si>
  <si>
    <t>Security Requirement
安全需求</t>
  </si>
  <si>
    <t xml:space="preserve">Source来源
</t>
  </si>
  <si>
    <t>子领域一</t>
  </si>
  <si>
    <t>子领域二</t>
  </si>
  <si>
    <t>子领域三</t>
  </si>
  <si>
    <t>WP29威胁映射</t>
  </si>
  <si>
    <t>Time
内容</t>
  </si>
  <si>
    <t>Value
指标值</t>
  </si>
  <si>
    <t>Content
内容</t>
  </si>
  <si>
    <t>Level
等级</t>
  </si>
  <si>
    <t>Calculation
计算值</t>
  </si>
  <si>
    <t>Notes
注释</t>
  </si>
  <si>
    <t>Impact Calc
影响计算</t>
  </si>
  <si>
    <t>Impact Level
影响等级</t>
  </si>
  <si>
    <t>WP29 Control Mapping</t>
  </si>
  <si>
    <t>P001</t>
  </si>
  <si>
    <t>车载多媒体</t>
  </si>
  <si>
    <t>系统实体</t>
  </si>
  <si>
    <t>N/A</t>
  </si>
  <si>
    <t>"Authenticity
真实性"</t>
  </si>
  <si>
    <t>S欺骗</t>
  </si>
  <si>
    <t>黑客仿冒、篡改SOC模块，导致零部件内部所有与SOC关联的模块无法接收真实的信息正常完成功能，甚至会使攻击者成功通过重要身份认证，造成安全隐患</t>
  </si>
  <si>
    <t>1.攻击者锁定待攻击车辆，通过物理拆解取得芯片，并进行调查，了解芯片的物理结构、通讯协议等相关信息。
2.通过观察寻找芯片可读丝印，或进行X光扫描，寻找可进行攻击的芯片调试点或调试接口。
3.攻击者通获取零部件的连接，将SOC的原始固件替换为自己编写的恶意固件。在设备启动时，SOC加载并执行恶意固件，导致设备执行攻击者预定的恶意操作。</t>
  </si>
  <si>
    <t xml:space="preserve">4.1
5.1
6.1
6.2
6.3
</t>
  </si>
  <si>
    <t>本地</t>
  </si>
  <si>
    <t>低</t>
  </si>
  <si>
    <t>不需要</t>
  </si>
  <si>
    <t>中等的</t>
  </si>
  <si>
    <t>重大的</t>
  </si>
  <si>
    <t>可忽略不计的</t>
  </si>
  <si>
    <t>1.应确保操作系统启动时应使用可信机制，在验证操作系统签名并判定通过后，再从可信存储区域加载操作系统，避免加载被算改的操作系统</t>
  </si>
  <si>
    <t>"Availability
可用性"</t>
  </si>
  <si>
    <t>D拒绝服务</t>
  </si>
  <si>
    <t>黑客通过超载SOC模块的处理能力或发送大量无效请求，造成SOC模块过载，导致车辆系统崩溃或无响应，导致无法向零部件模块接收或传递数据，功能无法正常通过系统使用。</t>
  </si>
  <si>
    <t>1.攻击者通过物理手段（如高温、高压、电磁辐射等）对MCU进行破坏，
2.损坏硬件组件或改变电子状态，导致SOC无法继续工作。</t>
  </si>
  <si>
    <t>24.1
8.1</t>
  </si>
  <si>
    <t>1、操作系统应裁剪掉不需要的组件与原生apk应用，如不对量产开放的开发工具等，以防止不必要的资源占用并防止攻击者利用开发工具恶意破坏系统</t>
  </si>
  <si>
    <t>P011</t>
  </si>
  <si>
    <t>SoC</t>
  </si>
  <si>
    <t>Flash</t>
  </si>
  <si>
    <t>媒体源</t>
  </si>
  <si>
    <t>"Authenticity
真实性"</t>
  </si>
  <si>
    <t>多媒体源数据被仿冒，导致多媒体真实性被破坏，导致多媒体模块传递的错误的视频信息，产生误导影响。</t>
  </si>
  <si>
    <t>1.攻击者通过USB接口攻击多媒体主机，获得多媒体主机权限，进而攻击其他车载部件
2.使用伪造的固件及应用进行替换
3.导致功能执行异常</t>
  </si>
  <si>
    <t>4.1
4.2</t>
  </si>
  <si>
    <t>高</t>
  </si>
  <si>
    <t>"Integrity
完整性"</t>
  </si>
  <si>
    <t>T篡改</t>
  </si>
  <si>
    <t>多媒体源被篡改，攻击者可以修改视频内容，导致对车辆安全和操控产生负面影响。</t>
  </si>
  <si>
    <t>1.攻击者通过硬件调试接口如JTAG、UART接口攻击车载部件
2.车载部件固件逻辑被篡改
3.执行器错误执行相关指令，导致功能执行异常</t>
  </si>
  <si>
    <t>4.1
5.1
6.1
6.2
6.3</t>
  </si>
  <si>
    <t>需要</t>
  </si>
  <si>
    <t>基于媒体文件的格式定义，对文件格式进行符合性校验，只允许读写指定格式的文件或安装执行指定签名的应用软件</t>
  </si>
  <si>
    <t>多媒体源收到攻击者拒绝服务攻击或攻击者通过发送大量无效请求或恶意指令，使多媒体源过载或崩溃，导致视频信息无法正常传输或显示，导致驾驶员对周围环境的感知能力，增加驾驶安全风险。</t>
  </si>
  <si>
    <t>1.攻击者发送大量无效、恶意或异常的请求、命令或数据包，使零部件并发执行大量任务，占用CPU、内存、网络带宽等各类资源资源。
2.功能模块在处理过多恶意请求的情况下，耗尽资源、崩溃或无法正常响应合法请求。
3.攻击者利用专用的转接设备连接到车辆的外部接口（如USB端口、OBD端口或JTAG口）。
4.攻击者发送大量无效、恶意或异常的请求、命令或数据包，使零部件并发执行大量任务，占用CPU、内存、网络带宽等各类资源资源。
5.功能模块在处理过多恶意请求的情况下，耗尽资源、崩溃或无法正常响应合法请求。</t>
  </si>
  <si>
    <t xml:space="preserve">E014
</t>
  </si>
  <si>
    <t>"Elevation of Privilege
权限提升"</t>
  </si>
  <si>
    <t>E权限提升</t>
  </si>
  <si>
    <t>攻击者通过非授权的诊断仪等设备连接OBD端口，通过恶意指令执行操作，破坏系统安全。</t>
  </si>
  <si>
    <t>1、攻击者通过相关非授权设备恶意连接OBD接口，破坏系统安全。</t>
  </si>
  <si>
    <t>7.1
9.1</t>
  </si>
  <si>
    <t>通过扫二维码等方式对OBD接口实行访问控制，不允许非受控的连接。</t>
  </si>
  <si>
    <t>E009</t>
  </si>
  <si>
    <t>外置功放</t>
  </si>
  <si>
    <t>与多媒体主机连接的外置功放被替换，导致功能调用的时候发生异常</t>
  </si>
  <si>
    <t>1、攻击者通过拆卸外部设备，分析设备。
2、使用其他零部件替换外部实体设备。
3、导致功能执行异常</t>
  </si>
  <si>
    <t>27.1
28.2
30.1
32.1</t>
  </si>
  <si>
    <t>物理</t>
  </si>
  <si>
    <t>无</t>
  </si>
  <si>
    <t>E004</t>
  </si>
  <si>
    <t>UART接口</t>
  </si>
  <si>
    <t>攻击者冒充外部合法设备连接UART接口进行各种攻击，可能导致零部件无法使用。</t>
  </si>
  <si>
    <t>攻击者通过相关非授权设备连接UART接口，通过指令实行访问、攻击等操作。</t>
  </si>
  <si>
    <t>E005</t>
  </si>
  <si>
    <t>CAN/CANFD接口</t>
  </si>
  <si>
    <t>"Elevation of Privilege
权限提升"</t>
  </si>
  <si>
    <t>攻击者冒充外部合法设备连接CAN/CANFD接口进行各种攻击，可能导致零部件无法使用。</t>
  </si>
  <si>
    <t>攻击者通过诊断仪等非授权设备连接CAN接口，通过指令实行访问、攻击等操作。</t>
  </si>
  <si>
    <t>严重的</t>
  </si>
  <si>
    <t>S005</t>
  </si>
  <si>
    <t>片外储存</t>
  </si>
  <si>
    <t>DDR</t>
  </si>
  <si>
    <t>储存在片外储存的OTA升级包被替换，导致功能调用的时候发生异常</t>
  </si>
  <si>
    <t>1.攻击者通过OBD接口攻击车载部件，进而非法访问存储在车载部件的软件升级包
2.使用伪造的故障和保养信息数据替换原来的故障和保养信息
3.故障和保养信息异常</t>
  </si>
  <si>
    <t>4.1
4.2
12.1</t>
  </si>
  <si>
    <t>攻击者恶意篡改系统DDR中存储的OTA升级包数据，导致OTA升级失败，无法实现其正常功能</t>
  </si>
  <si>
    <t>1. 攻击者利用专用的转接设备连接到车辆的外部接口（如USB端口、OBD端口或JTAG口）。
2. 攻击者提取OTA升级包进行篡改并将篡改后的OTA升级包刷入零部件。</t>
  </si>
  <si>
    <t>26.1
26.2
26.3</t>
  </si>
  <si>
    <t>"Confidentiality
机密性"</t>
  </si>
  <si>
    <t>I信息泄露</t>
  </si>
  <si>
    <t>1.攻击者通过USB接口攻击多媒体主机，获得多媒体主机权限，进而攻击其他车载部件
2.读取固件应用的敏感信息
3.导致车辆敏感信息泄露</t>
  </si>
  <si>
    <t>1.攻击者通过USB接口攻击多媒体主机
2.访问本地存储的OTA升级包，篡改本地OTA升级包
3.导致OTA升级包泄露</t>
  </si>
  <si>
    <t>7.1
3.5
31.1</t>
  </si>
  <si>
    <t>攻击者越权访问存储器，使得OTA升级包存储器机密性被破坏，攻击者可根据获取的升级包进行篡改、注入等一系列活动。</t>
  </si>
  <si>
    <t>1. 攻击者锁定待攻击车辆，通过物理拆解取得芯片，并进行调查，了解芯片的物理结构、通讯协议等相关信息。
2. 通过观察寻找芯片可读丝印，或进行X光扫描，寻找可进行攻击的芯片调试点或调试接口。
3. 提取SOC中的固件，对SOC固件进行漏洞挖掘。可能通过输入超出缓冲区长度的数据，覆盖相邻内存区域，改变程序执行路径或执行恶意代码。获取SOC的执行权限，进而进行权限提升。</t>
  </si>
  <si>
    <t>13.1
8.1</t>
  </si>
  <si>
    <t>D006</t>
  </si>
  <si>
    <t>通讯接口</t>
  </si>
  <si>
    <t>无线传输</t>
  </si>
  <si>
    <t>BT模块控制指令</t>
  </si>
  <si>
    <t>攻击者恶意仿冒蓝牙模块控制指令，导致系统执行虚假的指令，破坏车辆安全。</t>
  </si>
  <si>
    <t>1. 攻击者锁定目标车辆，找到负责通信的零部件位置，拨开线束并拆解下零部件。
2. 利用已经找到的接口或调试点，通过飞线，使用定制转接器连接到自己的电脑设备。
3. 使用抓包工具抓取车辆和以太网的通信消息，并修改其中的数据或指令，重新发送到目标车辆系统、或云端服务器中。
4. 使用嗅探工具截取零部件与服务器通信数据并将消息篡改后重放。
数据的完整性不能保证，零部件或服务器将收到篡改后的数据做出错误响应。</t>
  </si>
  <si>
    <t>邻居</t>
  </si>
  <si>
    <t>"Non-Repudiation
不可抵赖性"</t>
  </si>
  <si>
    <t>R抵赖</t>
  </si>
  <si>
    <t>攻击者攻击多媒体系统，发送虚假的控制指令，系统接收到错误信息无法溯源，进而影响蓝牙模块使用安全。</t>
  </si>
  <si>
    <t>网络</t>
  </si>
  <si>
    <t>攻击者对BT模块控制指令进行篡改，导致相关零部件收到了错误的指令，不能按预期工作。</t>
  </si>
  <si>
    <t>5.2
6.2
11.3</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</si>
</sst>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6.0"/>
      <color rgb="FF2F5496"/>
      <name val="Calibri"/>
      <scheme val="minor"/>
    </font>
    <font>
      <b/>
      <sz val="10.0"/>
      <color rgb="FFFFFFFF"/>
      <name val="Calibri"/>
      <scheme val="minor"/>
    </font>
    <font/>
    <font>
      <sz val="11.0"/>
      <color theme="1"/>
      <name val="Calibri"/>
    </font>
    <font>
      <sz val="9.0"/>
      <color theme="1"/>
      <name val="Courier New"/>
    </font>
    <font>
      <b/>
      <sz val="14.0"/>
      <color rgb="FF2F5496"/>
      <name val="Calibri"/>
      <scheme val="minor"/>
    </font>
    <font>
      <b/>
      <color theme="1"/>
      <name val="Calibri"/>
      <scheme val="minor"/>
    </font>
    <font>
      <color theme="1"/>
      <name val="Calibri"/>
      <scheme val="minor"/>
    </font>
    <font>
      <b/>
      <sz val="9.0"/>
      <color rgb="FF000000"/>
      <name val="Calibri"/>
      <scheme val="minor"/>
    </font>
  </fonts>
  <fills count="8">
    <fill>
      <patternFill patternType="none"/>
    </fill>
    <fill>
      <patternFill patternType="lightGray"/>
    </fill>
    <fill>
      <patternFill patternType="solid">
        <fgColor rgb="FF2F5496"/>
        <bgColor rgb="FF2F5496"/>
      </patternFill>
    </fill>
    <fill>
      <patternFill patternType="solid">
        <fgColor rgb="FF4472C4"/>
        <bgColor rgb="FF4472C4"/>
      </patternFill>
    </fill>
    <fill>
      <patternFill patternType="solid">
        <fgColor rgb="FFC6EFCE"/>
        <bgColor rgb="FFC6EFCE"/>
      </patternFill>
    </fill>
    <fill>
      <patternFill patternType="solid">
        <fgColor rgb="FFFF6B6B"/>
        <bgColor rgb="FFFF6B6B"/>
      </patternFill>
    </fill>
    <fill>
      <patternFill patternType="solid">
        <fgColor rgb="FFFFE066"/>
        <bgColor rgb="FFFFE066"/>
      </patternFill>
    </fill>
    <fill>
      <patternFill patternType="solid">
        <fgColor rgb="FF8EA9DB"/>
        <bgColor rgb="FF8EA9DB"/>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1" fillId="2" fontId="2" numFmtId="0" xfId="0" applyAlignment="1" applyBorder="1" applyFill="1" applyFont="1">
      <alignment horizontal="center" shrinkToFit="0" vertical="center" wrapText="1"/>
    </xf>
    <xf borderId="2" fillId="0" fontId="3" numFmtId="0" xfId="0" applyBorder="1" applyFont="1"/>
    <xf borderId="3" fillId="0" fontId="3" numFmtId="0" xfId="0" applyBorder="1" applyFont="1"/>
    <xf borderId="0" fillId="0" fontId="4" numFmtId="0" xfId="0" applyAlignment="1" applyFont="1">
      <alignment horizontal="left" shrinkToFit="0" vertical="center" wrapText="1"/>
    </xf>
    <xf borderId="0" fillId="0" fontId="5" numFmtId="0" xfId="0" applyAlignment="1" applyFont="1">
      <alignment horizontal="left" vertical="top"/>
    </xf>
    <xf borderId="4" fillId="3" fontId="2" numFmtId="0" xfId="0" applyAlignment="1" applyBorder="1" applyFill="1" applyFont="1">
      <alignment horizontal="center" shrinkToFit="0" vertical="center" wrapText="1"/>
    </xf>
    <xf borderId="1" fillId="3" fontId="2"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1" fillId="0" fontId="4" numFmtId="0" xfId="0" applyAlignment="1" applyBorder="1" applyFont="1">
      <alignment horizontal="left" shrinkToFit="0" vertical="center" wrapText="1"/>
    </xf>
    <xf borderId="4" fillId="0" fontId="4" numFmtId="0" xfId="0" applyAlignment="1" applyBorder="1" applyFont="1">
      <alignment horizontal="left" shrinkToFit="0" vertical="center" wrapText="1"/>
    </xf>
    <xf borderId="0" fillId="0" fontId="6" numFmtId="0" xfId="0" applyAlignment="1" applyFont="1">
      <alignment horizontal="center" shrinkToFit="0" vertical="center" wrapText="1"/>
    </xf>
    <xf borderId="4" fillId="4" fontId="4" numFmtId="0" xfId="0" applyAlignment="1" applyBorder="1" applyFill="1" applyFont="1">
      <alignment horizontal="center" shrinkToFit="0" vertical="center" wrapText="1"/>
    </xf>
    <xf borderId="0" fillId="0" fontId="7" numFmtId="0" xfId="0" applyFont="1"/>
    <xf borderId="5" fillId="4" fontId="4" numFmtId="0" xfId="0" applyBorder="1" applyFont="1"/>
    <xf borderId="0" fillId="0" fontId="8" numFmtId="0" xfId="0" applyFont="1"/>
    <xf borderId="4" fillId="5" fontId="4" numFmtId="0" xfId="0" applyAlignment="1" applyBorder="1" applyFill="1" applyFont="1">
      <alignment horizontal="center" shrinkToFit="0" vertical="center" wrapText="1"/>
    </xf>
    <xf borderId="4" fillId="6" fontId="4" numFmtId="0" xfId="0" applyAlignment="1" applyBorder="1" applyFill="1" applyFont="1">
      <alignment horizontal="center" shrinkToFit="0" vertical="center" wrapText="1"/>
    </xf>
    <xf borderId="1" fillId="2" fontId="2" numFmtId="0" xfId="0" applyAlignment="1" applyBorder="1" applyFont="1">
      <alignment horizontal="center" readingOrder="0" shrinkToFit="0" vertical="center" wrapText="1"/>
    </xf>
    <xf borderId="4" fillId="2" fontId="2" numFmtId="0" xfId="0" applyAlignment="1" applyBorder="1" applyFont="1">
      <alignment horizontal="center" shrinkToFit="0" vertical="center" wrapText="1"/>
    </xf>
    <xf borderId="6" fillId="3" fontId="2" numFmtId="0" xfId="0" applyAlignment="1" applyBorder="1" applyFont="1">
      <alignment horizontal="center" readingOrder="0" shrinkToFit="0" vertical="center" wrapText="1"/>
    </xf>
    <xf borderId="1" fillId="3" fontId="2" numFmtId="0" xfId="0" applyAlignment="1" applyBorder="1" applyFont="1">
      <alignment horizontal="center" readingOrder="0" shrinkToFit="0" vertical="center" wrapText="1"/>
    </xf>
    <xf borderId="6" fillId="3" fontId="2" numFmtId="0" xfId="0" applyAlignment="1" applyBorder="1" applyFont="1">
      <alignment horizontal="center" shrinkToFit="0" vertical="center" wrapText="1"/>
    </xf>
    <xf borderId="4" fillId="3" fontId="2" numFmtId="0" xfId="0" applyAlignment="1" applyBorder="1" applyFont="1">
      <alignment horizontal="center" readingOrder="0" shrinkToFit="0" vertical="center" wrapText="1"/>
    </xf>
    <xf borderId="7" fillId="0" fontId="3" numFmtId="0" xfId="0" applyBorder="1" applyFont="1"/>
    <xf borderId="7" fillId="3" fontId="2" numFmtId="0" xfId="0" applyAlignment="1" applyBorder="1" applyFont="1">
      <alignment horizontal="center" readingOrder="0" shrinkToFit="0" vertical="center" wrapText="1"/>
    </xf>
    <xf borderId="4" fillId="7" fontId="9" numFmtId="0" xfId="0" applyAlignment="1" applyBorder="1" applyFill="1" applyFont="1">
      <alignment horizontal="center" readingOrder="0" shrinkToFit="0" vertical="center" wrapText="1"/>
    </xf>
    <xf borderId="4" fillId="7" fontId="9" numFmtId="0" xfId="0" applyAlignment="1" applyBorder="1" applyFont="1">
      <alignment horizontal="center" shrinkToFit="0" vertical="center" wrapText="1"/>
    </xf>
    <xf borderId="0" fillId="0" fontId="8" numFmtId="0" xfId="0" applyAlignment="1" applyFont="1">
      <alignment horizontal="left" readingOrder="0" vertical="center"/>
    </xf>
    <xf borderId="0" fillId="0" fontId="8" numFmtId="0" xfId="0" applyAlignment="1" applyFont="1">
      <alignment horizontal="left" readingOrder="0" shrinkToFit="0" vertical="center" wrapText="1"/>
    </xf>
    <xf borderId="0" fillId="0" fontId="8" numFmtId="0" xfId="0" applyAlignment="1" applyFont="1">
      <alignment horizontal="left" vertical="center"/>
    </xf>
    <xf borderId="0" fillId="0" fontId="8" numFmtId="0" xfId="0" applyAlignment="1" applyFont="1">
      <alignment horizontal="left" shrinkToFit="0" vertical="center" wrapText="1"/>
    </xf>
    <xf borderId="0" fillId="0" fontId="7" numFmtId="0" xfId="0" applyAlignment="1" applyFont="1">
      <alignment readingOrder="0" shrinkToFit="0" vertical="center" wrapText="1"/>
    </xf>
    <xf borderId="0" fillId="0" fontId="8" numFmtId="0" xfId="0" applyAlignment="1" applyFont="1">
      <alignment readingOrder="0" shrinkToFit="0" vertical="center" wrapText="1"/>
    </xf>
    <xf borderId="0" fillId="0" fontId="8"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5.0"/>
    <col customWidth="1" min="7" max="26" width="8.71"/>
  </cols>
  <sheetData>
    <row r="1">
      <c r="A1" s="1" t="s">
        <v>0</v>
      </c>
    </row>
    <row r="3">
      <c r="A3" s="2" t="s">
        <v>1</v>
      </c>
      <c r="B3" s="3"/>
      <c r="C3" s="3"/>
      <c r="D3" s="3"/>
      <c r="E3" s="3"/>
      <c r="F3" s="4"/>
    </row>
    <row r="4">
      <c r="A4" s="5" t="s">
        <v>2</v>
      </c>
    </row>
    <row r="12">
      <c r="A12" s="2" t="s">
        <v>3</v>
      </c>
      <c r="B12" s="3"/>
      <c r="C12" s="3"/>
      <c r="D12" s="3"/>
      <c r="E12" s="3"/>
      <c r="F12" s="4"/>
    </row>
    <row r="13">
      <c r="A13" s="6" t="s">
        <v>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c r="A32" s="2" t="s">
        <v>5</v>
      </c>
      <c r="B32" s="3"/>
      <c r="C32" s="3"/>
      <c r="D32" s="3"/>
      <c r="E32" s="3"/>
      <c r="F32" s="4"/>
    </row>
    <row r="33" ht="15.75" customHeight="1">
      <c r="A33" s="6" t="s">
        <v>6</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c r="A52" s="2" t="s">
        <v>7</v>
      </c>
      <c r="B52" s="3"/>
      <c r="C52" s="3"/>
      <c r="D52" s="3"/>
      <c r="E52" s="3"/>
      <c r="F52" s="4"/>
    </row>
    <row r="53" ht="15.75" customHeight="1">
      <c r="A53" s="6" t="s">
        <v>8</v>
      </c>
    </row>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c r="A72" s="2" t="s">
        <v>9</v>
      </c>
      <c r="B72" s="3"/>
      <c r="C72" s="3"/>
      <c r="D72" s="3"/>
      <c r="E72" s="3"/>
      <c r="F72" s="4"/>
    </row>
    <row r="73" ht="15.75" customHeight="1">
      <c r="A73" s="7" t="s">
        <v>10</v>
      </c>
      <c r="B73" s="8" t="s">
        <v>11</v>
      </c>
      <c r="C73" s="3"/>
      <c r="D73" s="3"/>
      <c r="E73" s="3"/>
      <c r="F73" s="4"/>
    </row>
    <row r="74" ht="15.75" customHeight="1">
      <c r="A74" s="9" t="s">
        <v>12</v>
      </c>
      <c r="B74" s="10" t="s">
        <v>13</v>
      </c>
      <c r="C74" s="3"/>
      <c r="D74" s="3"/>
      <c r="E74" s="3"/>
      <c r="F74" s="4"/>
    </row>
    <row r="75" ht="15.75" customHeight="1">
      <c r="A75" s="9" t="s">
        <v>14</v>
      </c>
      <c r="B75" s="10" t="s">
        <v>15</v>
      </c>
      <c r="C75" s="3"/>
      <c r="D75" s="3"/>
      <c r="E75" s="3"/>
      <c r="F75" s="4"/>
    </row>
    <row r="76" ht="15.75" customHeight="1">
      <c r="A76" s="9" t="s">
        <v>16</v>
      </c>
      <c r="B76" s="10" t="s">
        <v>17</v>
      </c>
      <c r="C76" s="3"/>
      <c r="D76" s="3"/>
      <c r="E76" s="3"/>
      <c r="F76" s="4"/>
    </row>
    <row r="77" ht="15.75" customHeight="1">
      <c r="A77" s="9" t="s">
        <v>18</v>
      </c>
      <c r="B77" s="10" t="s">
        <v>19</v>
      </c>
      <c r="C77" s="3"/>
      <c r="D77" s="3"/>
      <c r="E77" s="3"/>
      <c r="F77" s="4"/>
    </row>
    <row r="78" ht="15.75" customHeight="1">
      <c r="A78" s="9" t="s">
        <v>20</v>
      </c>
      <c r="B78" s="10" t="s">
        <v>21</v>
      </c>
      <c r="C78" s="3"/>
      <c r="D78" s="3"/>
      <c r="E78" s="3"/>
      <c r="F78" s="4"/>
    </row>
    <row r="79" ht="15.75" customHeight="1">
      <c r="A79" s="9" t="s">
        <v>22</v>
      </c>
      <c r="B79" s="10" t="s">
        <v>23</v>
      </c>
      <c r="C79" s="3"/>
      <c r="D79" s="3"/>
      <c r="E79" s="3"/>
      <c r="F79" s="4"/>
    </row>
    <row r="80" ht="15.75" customHeight="1">
      <c r="A80" s="9" t="s">
        <v>24</v>
      </c>
      <c r="B80" s="10" t="s">
        <v>25</v>
      </c>
      <c r="C80" s="3"/>
      <c r="D80" s="3"/>
      <c r="E80" s="3"/>
      <c r="F80" s="4"/>
    </row>
    <row r="81" ht="15.75" customHeight="1">
      <c r="A81" s="9" t="s">
        <v>26</v>
      </c>
      <c r="B81" s="10" t="s">
        <v>27</v>
      </c>
      <c r="C81" s="3"/>
      <c r="D81" s="3"/>
      <c r="E81" s="3"/>
      <c r="F81" s="4"/>
    </row>
    <row r="82" ht="15.75" customHeight="1">
      <c r="A82" s="9" t="s">
        <v>28</v>
      </c>
      <c r="B82" s="10" t="s">
        <v>29</v>
      </c>
      <c r="C82" s="3"/>
      <c r="D82" s="3"/>
      <c r="E82" s="3"/>
      <c r="F82" s="4"/>
    </row>
    <row r="83" ht="15.75" customHeight="1">
      <c r="A83" s="9" t="s">
        <v>30</v>
      </c>
      <c r="B83" s="10" t="s">
        <v>31</v>
      </c>
      <c r="C83" s="3"/>
      <c r="D83" s="3"/>
      <c r="E83" s="3"/>
      <c r="F83" s="4"/>
    </row>
    <row r="84" ht="15.75" customHeight="1"/>
    <row r="85" ht="15.75" customHeight="1">
      <c r="A85" s="2" t="s">
        <v>32</v>
      </c>
      <c r="B85" s="3"/>
      <c r="C85" s="3"/>
      <c r="D85" s="3"/>
      <c r="E85" s="3"/>
      <c r="F85" s="4"/>
    </row>
    <row r="86" ht="15.75" customHeight="1">
      <c r="A86" s="7" t="s">
        <v>33</v>
      </c>
      <c r="B86" s="8" t="s">
        <v>34</v>
      </c>
      <c r="C86" s="3"/>
      <c r="D86" s="3"/>
      <c r="E86" s="4"/>
      <c r="F86" s="7" t="s">
        <v>35</v>
      </c>
    </row>
    <row r="87" ht="15.75" customHeight="1">
      <c r="A87" s="9" t="s">
        <v>36</v>
      </c>
      <c r="B87" s="10" t="s">
        <v>37</v>
      </c>
      <c r="C87" s="3"/>
      <c r="D87" s="3"/>
      <c r="E87" s="4"/>
      <c r="F87" s="11" t="s">
        <v>38</v>
      </c>
    </row>
    <row r="88" ht="15.75" customHeight="1">
      <c r="A88" s="9" t="s">
        <v>39</v>
      </c>
      <c r="B88" s="10" t="s">
        <v>40</v>
      </c>
      <c r="C88" s="3"/>
      <c r="D88" s="3"/>
      <c r="E88" s="4"/>
      <c r="F88" s="11" t="s">
        <v>41</v>
      </c>
    </row>
    <row r="89" ht="15.75" customHeight="1">
      <c r="A89" s="9" t="s">
        <v>42</v>
      </c>
      <c r="B89" s="10" t="s">
        <v>43</v>
      </c>
      <c r="C89" s="3"/>
      <c r="D89" s="3"/>
      <c r="E89" s="4"/>
      <c r="F89" s="11" t="s">
        <v>44</v>
      </c>
    </row>
    <row r="90" ht="15.75" customHeight="1">
      <c r="A90" s="9" t="s">
        <v>45</v>
      </c>
      <c r="B90" s="10" t="s">
        <v>46</v>
      </c>
      <c r="C90" s="3"/>
      <c r="D90" s="3"/>
      <c r="E90" s="4"/>
      <c r="F90" s="11" t="s">
        <v>47</v>
      </c>
    </row>
    <row r="91" ht="15.75" customHeight="1">
      <c r="A91" s="9" t="s">
        <v>48</v>
      </c>
      <c r="B91" s="10" t="s">
        <v>49</v>
      </c>
      <c r="C91" s="3"/>
      <c r="D91" s="3"/>
      <c r="E91" s="4"/>
      <c r="F91" s="11" t="s">
        <v>50</v>
      </c>
    </row>
    <row r="92" ht="15.75" customHeight="1">
      <c r="A92" s="9" t="s">
        <v>51</v>
      </c>
      <c r="B92" s="10" t="s">
        <v>52</v>
      </c>
      <c r="C92" s="3"/>
      <c r="D92" s="3"/>
      <c r="E92" s="4"/>
      <c r="F92" s="11" t="s">
        <v>53</v>
      </c>
    </row>
    <row r="93" ht="15.75" customHeight="1">
      <c r="A93" s="9" t="s">
        <v>54</v>
      </c>
      <c r="B93" s="10" t="s">
        <v>55</v>
      </c>
      <c r="C93" s="3"/>
      <c r="D93" s="3"/>
      <c r="E93" s="4"/>
      <c r="F93" s="11" t="s">
        <v>56</v>
      </c>
    </row>
    <row r="94" ht="15.75" customHeight="1">
      <c r="A94" s="9" t="s">
        <v>57</v>
      </c>
      <c r="B94" s="10" t="s">
        <v>58</v>
      </c>
      <c r="C94" s="3"/>
      <c r="D94" s="3"/>
      <c r="E94" s="4"/>
      <c r="F94" s="11" t="s">
        <v>59</v>
      </c>
    </row>
    <row r="95" ht="15.75" customHeight="1">
      <c r="A95" s="9" t="s">
        <v>60</v>
      </c>
      <c r="B95" s="10" t="s">
        <v>61</v>
      </c>
      <c r="C95" s="3"/>
      <c r="D95" s="3"/>
      <c r="E95" s="4"/>
      <c r="F95" s="11" t="s">
        <v>62</v>
      </c>
    </row>
    <row r="96" ht="15.75" customHeight="1">
      <c r="A96" s="9" t="s">
        <v>63</v>
      </c>
      <c r="B96" s="10" t="s">
        <v>64</v>
      </c>
      <c r="C96" s="3"/>
      <c r="D96" s="3"/>
      <c r="E96" s="4"/>
      <c r="F96" s="11" t="s">
        <v>65</v>
      </c>
    </row>
    <row r="97" ht="15.75" customHeight="1">
      <c r="A97" s="9" t="s">
        <v>66</v>
      </c>
      <c r="B97" s="10" t="s">
        <v>67</v>
      </c>
      <c r="C97" s="3"/>
      <c r="D97" s="3"/>
      <c r="E97" s="4"/>
      <c r="F97" s="11" t="s">
        <v>68</v>
      </c>
    </row>
    <row r="98" ht="15.75" customHeight="1">
      <c r="A98" s="9" t="s">
        <v>69</v>
      </c>
      <c r="B98" s="10" t="s">
        <v>70</v>
      </c>
      <c r="C98" s="3"/>
      <c r="D98" s="3"/>
      <c r="E98" s="4"/>
      <c r="F98" s="11" t="s">
        <v>71</v>
      </c>
    </row>
    <row r="99" ht="15.75" customHeight="1">
      <c r="A99" s="9" t="s">
        <v>72</v>
      </c>
      <c r="B99" s="10" t="s">
        <v>73</v>
      </c>
      <c r="C99" s="3"/>
      <c r="D99" s="3"/>
      <c r="E99" s="4"/>
      <c r="F99" s="11" t="s">
        <v>74</v>
      </c>
    </row>
    <row r="100" ht="15.75" customHeight="1">
      <c r="A100" s="9" t="s">
        <v>75</v>
      </c>
      <c r="B100" s="10" t="s">
        <v>76</v>
      </c>
      <c r="C100" s="3"/>
      <c r="D100" s="3"/>
      <c r="E100" s="4"/>
      <c r="F100" s="11" t="s">
        <v>77</v>
      </c>
    </row>
    <row r="101" ht="15.75" customHeight="1">
      <c r="A101" s="9" t="s">
        <v>78</v>
      </c>
      <c r="B101" s="10" t="s">
        <v>79</v>
      </c>
      <c r="C101" s="3"/>
      <c r="D101" s="3"/>
      <c r="E101" s="4"/>
      <c r="F101" s="11" t="s">
        <v>80</v>
      </c>
    </row>
    <row r="102" ht="15.75" customHeight="1">
      <c r="A102" s="9" t="s">
        <v>81</v>
      </c>
      <c r="B102" s="10" t="s">
        <v>82</v>
      </c>
      <c r="C102" s="3"/>
      <c r="D102" s="3"/>
      <c r="E102" s="4"/>
      <c r="F102" s="11" t="s">
        <v>83</v>
      </c>
    </row>
    <row r="103" ht="15.75" customHeight="1">
      <c r="A103" s="9" t="s">
        <v>84</v>
      </c>
      <c r="B103" s="10" t="s">
        <v>85</v>
      </c>
      <c r="C103" s="3"/>
      <c r="D103" s="3"/>
      <c r="E103" s="4"/>
      <c r="F103" s="11" t="s">
        <v>86</v>
      </c>
    </row>
    <row r="104" ht="15.75" customHeight="1">
      <c r="A104" s="9" t="s">
        <v>87</v>
      </c>
      <c r="B104" s="10" t="s">
        <v>88</v>
      </c>
      <c r="C104" s="3"/>
      <c r="D104" s="3"/>
      <c r="E104" s="4"/>
      <c r="F104" s="11" t="s">
        <v>89</v>
      </c>
    </row>
    <row r="105" ht="15.75" customHeight="1">
      <c r="A105" s="9" t="s">
        <v>90</v>
      </c>
      <c r="B105" s="10" t="s">
        <v>91</v>
      </c>
      <c r="C105" s="3"/>
      <c r="D105" s="3"/>
      <c r="E105" s="4"/>
      <c r="F105" s="11" t="s">
        <v>92</v>
      </c>
    </row>
    <row r="106" ht="15.75" customHeight="1">
      <c r="A106" s="9" t="s">
        <v>93</v>
      </c>
      <c r="B106" s="10" t="s">
        <v>94</v>
      </c>
      <c r="C106" s="3"/>
      <c r="D106" s="3"/>
      <c r="E106" s="4"/>
      <c r="F106" s="11" t="s">
        <v>95</v>
      </c>
    </row>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3">
    <mergeCell ref="A1:F1"/>
    <mergeCell ref="A3:F3"/>
    <mergeCell ref="A4:F10"/>
    <mergeCell ref="A12:F12"/>
    <mergeCell ref="A13:F30"/>
    <mergeCell ref="A32:F32"/>
    <mergeCell ref="A33:F50"/>
    <mergeCell ref="A52:F52"/>
    <mergeCell ref="A53:F70"/>
    <mergeCell ref="A72:F72"/>
    <mergeCell ref="B73:F73"/>
    <mergeCell ref="B74:F74"/>
    <mergeCell ref="B75:F75"/>
    <mergeCell ref="B76:F76"/>
    <mergeCell ref="B77:F77"/>
    <mergeCell ref="B78:F78"/>
    <mergeCell ref="B79:F79"/>
    <mergeCell ref="B80:F80"/>
    <mergeCell ref="B81:F81"/>
    <mergeCell ref="B82:F82"/>
    <mergeCell ref="B83:F83"/>
    <mergeCell ref="A85:F85"/>
    <mergeCell ref="B86:E86"/>
    <mergeCell ref="B87:E87"/>
    <mergeCell ref="B88:E88"/>
    <mergeCell ref="B89:E89"/>
    <mergeCell ref="B90:E90"/>
    <mergeCell ref="B91:E91"/>
    <mergeCell ref="B99:E99"/>
    <mergeCell ref="B100:E100"/>
    <mergeCell ref="B101:E101"/>
    <mergeCell ref="B102:E102"/>
    <mergeCell ref="B103:E103"/>
    <mergeCell ref="B104:E104"/>
    <mergeCell ref="B105:E105"/>
    <mergeCell ref="B106:E106"/>
    <mergeCell ref="B92:E92"/>
    <mergeCell ref="B93:E93"/>
    <mergeCell ref="B94:E94"/>
    <mergeCell ref="B95:E95"/>
    <mergeCell ref="B96:E96"/>
    <mergeCell ref="B97:E97"/>
    <mergeCell ref="B98:E9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8.0"/>
    <col customWidth="1" min="3" max="3" width="12.0"/>
    <col customWidth="1" min="4" max="4" width="30.0"/>
    <col customWidth="1" min="5" max="6" width="10.0"/>
    <col customWidth="1" min="7" max="7" width="12.0"/>
    <col customWidth="1" min="8" max="10" width="10.0"/>
    <col customWidth="1" min="11" max="26" width="8.71"/>
  </cols>
  <sheetData>
    <row r="1">
      <c r="A1" s="12" t="s">
        <v>96</v>
      </c>
    </row>
    <row r="3">
      <c r="A3" s="2" t="s">
        <v>97</v>
      </c>
      <c r="B3" s="3"/>
      <c r="C3" s="3"/>
      <c r="D3" s="4"/>
      <c r="E3" s="2" t="s">
        <v>98</v>
      </c>
      <c r="F3" s="3"/>
      <c r="G3" s="3"/>
      <c r="H3" s="3"/>
      <c r="I3" s="3"/>
      <c r="J3" s="4"/>
    </row>
    <row r="4">
      <c r="A4" s="7" t="s">
        <v>99</v>
      </c>
      <c r="B4" s="7" t="s">
        <v>100</v>
      </c>
      <c r="C4" s="7" t="s">
        <v>101</v>
      </c>
      <c r="D4" s="7" t="s">
        <v>102</v>
      </c>
      <c r="E4" s="7" t="s">
        <v>103</v>
      </c>
      <c r="F4" s="7" t="s">
        <v>104</v>
      </c>
      <c r="G4" s="7" t="s">
        <v>105</v>
      </c>
      <c r="H4" s="7" t="s">
        <v>106</v>
      </c>
      <c r="I4" s="7" t="s">
        <v>107</v>
      </c>
      <c r="J4" s="7" t="s">
        <v>108</v>
      </c>
    </row>
    <row r="5">
      <c r="A5" s="9" t="s">
        <v>109</v>
      </c>
      <c r="B5" s="9" t="s">
        <v>110</v>
      </c>
      <c r="C5" s="9" t="s">
        <v>111</v>
      </c>
      <c r="D5" s="9" t="s">
        <v>112</v>
      </c>
      <c r="E5" s="13" t="s">
        <v>113</v>
      </c>
      <c r="F5" s="13" t="s">
        <v>113</v>
      </c>
      <c r="G5" s="9"/>
      <c r="H5" s="13" t="s">
        <v>113</v>
      </c>
      <c r="I5" s="13" t="s">
        <v>113</v>
      </c>
      <c r="J5" s="13" t="s">
        <v>113</v>
      </c>
    </row>
    <row r="6">
      <c r="A6" s="9" t="s">
        <v>114</v>
      </c>
      <c r="B6" s="9" t="s">
        <v>115</v>
      </c>
      <c r="C6" s="9" t="s">
        <v>111</v>
      </c>
      <c r="D6" s="9" t="s">
        <v>116</v>
      </c>
      <c r="E6" s="13" t="s">
        <v>113</v>
      </c>
      <c r="F6" s="13" t="s">
        <v>113</v>
      </c>
      <c r="G6" s="13" t="s">
        <v>113</v>
      </c>
      <c r="H6" s="13" t="s">
        <v>113</v>
      </c>
      <c r="I6" s="13" t="s">
        <v>113</v>
      </c>
      <c r="J6" s="13" t="s">
        <v>113</v>
      </c>
    </row>
    <row r="7">
      <c r="A7" s="9" t="s">
        <v>117</v>
      </c>
      <c r="B7" s="9" t="s">
        <v>118</v>
      </c>
      <c r="C7" s="9" t="s">
        <v>111</v>
      </c>
      <c r="D7" s="9" t="s">
        <v>119</v>
      </c>
      <c r="E7" s="9"/>
      <c r="F7" s="13" t="s">
        <v>113</v>
      </c>
      <c r="G7" s="9"/>
      <c r="H7" s="13" t="s">
        <v>113</v>
      </c>
      <c r="I7" s="13" t="s">
        <v>113</v>
      </c>
      <c r="J7" s="9"/>
    </row>
    <row r="8">
      <c r="A8" s="9" t="s">
        <v>120</v>
      </c>
      <c r="B8" s="9" t="s">
        <v>121</v>
      </c>
      <c r="C8" s="9" t="s">
        <v>111</v>
      </c>
      <c r="D8" s="9" t="s">
        <v>122</v>
      </c>
      <c r="E8" s="9"/>
      <c r="F8" s="13" t="s">
        <v>113</v>
      </c>
      <c r="G8" s="9"/>
      <c r="H8" s="13" t="s">
        <v>113</v>
      </c>
      <c r="I8" s="13" t="s">
        <v>113</v>
      </c>
      <c r="J8" s="9"/>
    </row>
    <row r="9">
      <c r="A9" s="9" t="s">
        <v>123</v>
      </c>
      <c r="B9" s="9" t="s">
        <v>124</v>
      </c>
      <c r="C9" s="9" t="s">
        <v>111</v>
      </c>
      <c r="D9" s="9" t="s">
        <v>125</v>
      </c>
      <c r="E9" s="13" t="s">
        <v>113</v>
      </c>
      <c r="F9" s="13" t="s">
        <v>113</v>
      </c>
      <c r="G9" s="9"/>
      <c r="H9" s="13" t="s">
        <v>113</v>
      </c>
      <c r="I9" s="13" t="s">
        <v>113</v>
      </c>
      <c r="J9" s="13" t="s">
        <v>113</v>
      </c>
    </row>
    <row r="10">
      <c r="A10" s="9" t="s">
        <v>126</v>
      </c>
      <c r="B10" s="9" t="s">
        <v>127</v>
      </c>
      <c r="C10" s="9" t="s">
        <v>111</v>
      </c>
      <c r="D10" s="9" t="s">
        <v>128</v>
      </c>
      <c r="E10" s="13" t="s">
        <v>113</v>
      </c>
      <c r="F10" s="13" t="s">
        <v>113</v>
      </c>
      <c r="G10" s="9"/>
      <c r="H10" s="13" t="s">
        <v>113</v>
      </c>
      <c r="I10" s="13" t="s">
        <v>113</v>
      </c>
      <c r="J10" s="13" t="s">
        <v>113</v>
      </c>
    </row>
    <row r="11">
      <c r="A11" s="9" t="s">
        <v>129</v>
      </c>
      <c r="B11" s="9" t="s">
        <v>130</v>
      </c>
      <c r="C11" s="9" t="s">
        <v>111</v>
      </c>
      <c r="D11" s="9" t="s">
        <v>131</v>
      </c>
      <c r="E11" s="13" t="s">
        <v>113</v>
      </c>
      <c r="F11" s="13" t="s">
        <v>113</v>
      </c>
      <c r="G11" s="9"/>
      <c r="H11" s="13" t="s">
        <v>113</v>
      </c>
      <c r="I11" s="13" t="s">
        <v>113</v>
      </c>
      <c r="J11" s="13" t="s">
        <v>113</v>
      </c>
    </row>
    <row r="12">
      <c r="A12" s="9" t="s">
        <v>132</v>
      </c>
      <c r="B12" s="9" t="s">
        <v>133</v>
      </c>
      <c r="C12" s="9" t="s">
        <v>111</v>
      </c>
      <c r="D12" s="9" t="s">
        <v>134</v>
      </c>
      <c r="E12" s="13" t="s">
        <v>113</v>
      </c>
      <c r="F12" s="13" t="s">
        <v>113</v>
      </c>
      <c r="G12" s="9"/>
      <c r="H12" s="9"/>
      <c r="I12" s="13" t="s">
        <v>113</v>
      </c>
      <c r="J12" s="13" t="s">
        <v>113</v>
      </c>
    </row>
    <row r="13">
      <c r="A13" s="9" t="s">
        <v>135</v>
      </c>
      <c r="B13" s="9" t="s">
        <v>136</v>
      </c>
      <c r="C13" s="9" t="s">
        <v>137</v>
      </c>
      <c r="D13" s="9" t="s">
        <v>138</v>
      </c>
      <c r="E13" s="9"/>
      <c r="F13" s="13" t="s">
        <v>113</v>
      </c>
      <c r="G13" s="13" t="s">
        <v>113</v>
      </c>
      <c r="H13" s="9"/>
      <c r="I13" s="13" t="s">
        <v>113</v>
      </c>
      <c r="J13" s="9"/>
    </row>
    <row r="14">
      <c r="A14" s="9" t="s">
        <v>139</v>
      </c>
      <c r="B14" s="9" t="s">
        <v>140</v>
      </c>
      <c r="C14" s="9" t="s">
        <v>137</v>
      </c>
      <c r="D14" s="9" t="s">
        <v>141</v>
      </c>
      <c r="E14" s="9"/>
      <c r="F14" s="13" t="s">
        <v>113</v>
      </c>
      <c r="G14" s="13" t="s">
        <v>113</v>
      </c>
      <c r="H14" s="9"/>
      <c r="I14" s="13" t="s">
        <v>113</v>
      </c>
      <c r="J14" s="9"/>
    </row>
    <row r="15">
      <c r="A15" s="9" t="s">
        <v>142</v>
      </c>
      <c r="B15" s="9" t="s">
        <v>143</v>
      </c>
      <c r="C15" s="9" t="s">
        <v>137</v>
      </c>
      <c r="D15" s="9" t="s">
        <v>144</v>
      </c>
      <c r="E15" s="9"/>
      <c r="F15" s="13" t="s">
        <v>113</v>
      </c>
      <c r="G15" s="9"/>
      <c r="H15" s="9"/>
      <c r="I15" s="13" t="s">
        <v>113</v>
      </c>
      <c r="J15" s="9"/>
    </row>
    <row r="16">
      <c r="A16" s="9" t="s">
        <v>145</v>
      </c>
      <c r="B16" s="9" t="s">
        <v>146</v>
      </c>
      <c r="C16" s="9" t="s">
        <v>147</v>
      </c>
      <c r="D16" s="9" t="s">
        <v>148</v>
      </c>
      <c r="E16" s="13" t="s">
        <v>113</v>
      </c>
      <c r="F16" s="13" t="s">
        <v>113</v>
      </c>
      <c r="G16" s="13" t="s">
        <v>113</v>
      </c>
      <c r="H16" s="9"/>
      <c r="I16" s="13" t="s">
        <v>113</v>
      </c>
      <c r="J16" s="13" t="s">
        <v>113</v>
      </c>
    </row>
    <row r="17">
      <c r="A17" s="9" t="s">
        <v>149</v>
      </c>
      <c r="B17" s="9" t="s">
        <v>150</v>
      </c>
      <c r="C17" s="9" t="s">
        <v>147</v>
      </c>
      <c r="D17" s="9" t="s">
        <v>151</v>
      </c>
      <c r="E17" s="13" t="s">
        <v>113</v>
      </c>
      <c r="F17" s="13" t="s">
        <v>113</v>
      </c>
      <c r="G17" s="13" t="s">
        <v>113</v>
      </c>
      <c r="H17" s="9"/>
      <c r="I17" s="13" t="s">
        <v>113</v>
      </c>
      <c r="J17" s="13" t="s">
        <v>113</v>
      </c>
    </row>
    <row r="18">
      <c r="A18" s="9" t="s">
        <v>152</v>
      </c>
      <c r="B18" s="9" t="s">
        <v>153</v>
      </c>
      <c r="C18" s="9" t="s">
        <v>147</v>
      </c>
      <c r="D18" s="9" t="s">
        <v>154</v>
      </c>
      <c r="E18" s="13" t="s">
        <v>113</v>
      </c>
      <c r="F18" s="13" t="s">
        <v>113</v>
      </c>
      <c r="G18" s="13" t="s">
        <v>113</v>
      </c>
      <c r="H18" s="9"/>
      <c r="I18" s="13" t="s">
        <v>113</v>
      </c>
      <c r="J18" s="9"/>
    </row>
    <row r="19">
      <c r="A19" s="9" t="s">
        <v>155</v>
      </c>
      <c r="B19" s="9" t="s">
        <v>156</v>
      </c>
      <c r="C19" s="9" t="s">
        <v>147</v>
      </c>
      <c r="D19" s="9" t="s">
        <v>157</v>
      </c>
      <c r="E19" s="9"/>
      <c r="F19" s="9"/>
      <c r="G19" s="9"/>
      <c r="H19" s="9"/>
      <c r="I19" s="13" t="s">
        <v>113</v>
      </c>
      <c r="J19" s="9"/>
    </row>
    <row r="20">
      <c r="A20" s="9" t="s">
        <v>158</v>
      </c>
      <c r="B20" s="9" t="s">
        <v>159</v>
      </c>
      <c r="C20" s="9" t="s">
        <v>147</v>
      </c>
      <c r="D20" s="9" t="s">
        <v>160</v>
      </c>
      <c r="E20" s="13" t="s">
        <v>113</v>
      </c>
      <c r="F20" s="13" t="s">
        <v>113</v>
      </c>
      <c r="G20" s="9"/>
      <c r="H20" s="9"/>
      <c r="I20" s="13" t="s">
        <v>113</v>
      </c>
      <c r="J20" s="13" t="s">
        <v>113</v>
      </c>
    </row>
    <row r="21" ht="15.75" customHeight="1">
      <c r="A21" s="9" t="s">
        <v>161</v>
      </c>
      <c r="B21" s="9" t="s">
        <v>162</v>
      </c>
      <c r="C21" s="9" t="s">
        <v>163</v>
      </c>
      <c r="D21" s="9" t="s">
        <v>164</v>
      </c>
      <c r="E21" s="13" t="s">
        <v>113</v>
      </c>
      <c r="F21" s="13" t="s">
        <v>113</v>
      </c>
      <c r="G21" s="13" t="s">
        <v>113</v>
      </c>
      <c r="H21" s="13" t="s">
        <v>113</v>
      </c>
      <c r="I21" s="13" t="s">
        <v>113</v>
      </c>
      <c r="J21" s="13" t="s">
        <v>113</v>
      </c>
    </row>
    <row r="22" ht="15.75" customHeight="1">
      <c r="A22" s="9" t="s">
        <v>165</v>
      </c>
      <c r="B22" s="9" t="s">
        <v>166</v>
      </c>
      <c r="C22" s="9" t="s">
        <v>163</v>
      </c>
      <c r="D22" s="9" t="s">
        <v>167</v>
      </c>
      <c r="E22" s="9"/>
      <c r="F22" s="13" t="s">
        <v>113</v>
      </c>
      <c r="G22" s="9"/>
      <c r="H22" s="13" t="s">
        <v>113</v>
      </c>
      <c r="I22" s="13" t="s">
        <v>113</v>
      </c>
      <c r="J22" s="9"/>
    </row>
    <row r="23" ht="15.75" customHeight="1">
      <c r="A23" s="9" t="s">
        <v>168</v>
      </c>
      <c r="B23" s="9" t="s">
        <v>169</v>
      </c>
      <c r="C23" s="9" t="s">
        <v>163</v>
      </c>
      <c r="D23" s="9" t="s">
        <v>170</v>
      </c>
      <c r="E23" s="9"/>
      <c r="F23" s="13" t="s">
        <v>113</v>
      </c>
      <c r="G23" s="9"/>
      <c r="H23" s="13" t="s">
        <v>113</v>
      </c>
      <c r="I23" s="9"/>
      <c r="J23" s="9"/>
    </row>
    <row r="24" ht="15.75" customHeight="1">
      <c r="A24" s="9" t="s">
        <v>171</v>
      </c>
      <c r="B24" s="9" t="s">
        <v>172</v>
      </c>
      <c r="C24" s="9" t="s">
        <v>163</v>
      </c>
      <c r="D24" s="9" t="s">
        <v>173</v>
      </c>
      <c r="E24" s="13" t="s">
        <v>113</v>
      </c>
      <c r="F24" s="13" t="s">
        <v>113</v>
      </c>
      <c r="G24" s="13" t="s">
        <v>113</v>
      </c>
      <c r="H24" s="13" t="s">
        <v>113</v>
      </c>
      <c r="I24" s="9"/>
      <c r="J24" s="9"/>
    </row>
    <row r="25" ht="15.75" customHeight="1">
      <c r="A25" s="9" t="s">
        <v>174</v>
      </c>
      <c r="B25" s="9" t="s">
        <v>60</v>
      </c>
      <c r="C25" s="9" t="s">
        <v>175</v>
      </c>
      <c r="D25" s="9" t="s">
        <v>176</v>
      </c>
      <c r="E25" s="13" t="s">
        <v>113</v>
      </c>
      <c r="F25" s="13" t="s">
        <v>113</v>
      </c>
      <c r="G25" s="9"/>
      <c r="H25" s="13" t="s">
        <v>113</v>
      </c>
      <c r="I25" s="13" t="s">
        <v>113</v>
      </c>
      <c r="J25" s="13" t="s">
        <v>113</v>
      </c>
    </row>
    <row r="26" ht="15.75" customHeight="1">
      <c r="A26" s="9" t="s">
        <v>177</v>
      </c>
      <c r="B26" s="9" t="s">
        <v>178</v>
      </c>
      <c r="C26" s="9" t="s">
        <v>175</v>
      </c>
      <c r="D26" s="9" t="s">
        <v>179</v>
      </c>
      <c r="E26" s="13" t="s">
        <v>113</v>
      </c>
      <c r="F26" s="13" t="s">
        <v>113</v>
      </c>
      <c r="G26" s="9"/>
      <c r="H26" s="9"/>
      <c r="I26" s="13" t="s">
        <v>113</v>
      </c>
      <c r="J26" s="13" t="s">
        <v>113</v>
      </c>
    </row>
    <row r="27" ht="15.75" customHeight="1">
      <c r="A27" s="9" t="s">
        <v>180</v>
      </c>
      <c r="B27" s="9" t="s">
        <v>181</v>
      </c>
      <c r="C27" s="9" t="s">
        <v>175</v>
      </c>
      <c r="D27" s="9" t="s">
        <v>182</v>
      </c>
      <c r="E27" s="13" t="s">
        <v>113</v>
      </c>
      <c r="F27" s="13" t="s">
        <v>113</v>
      </c>
      <c r="G27" s="9"/>
      <c r="H27" s="13" t="s">
        <v>113</v>
      </c>
      <c r="I27" s="13" t="s">
        <v>113</v>
      </c>
      <c r="J27" s="13" t="s">
        <v>113</v>
      </c>
    </row>
    <row r="28" ht="15.75" customHeight="1">
      <c r="A28" s="9" t="s">
        <v>183</v>
      </c>
      <c r="B28" s="9" t="s">
        <v>184</v>
      </c>
      <c r="C28" s="9" t="s">
        <v>175</v>
      </c>
      <c r="D28" s="9" t="s">
        <v>185</v>
      </c>
      <c r="E28" s="13" t="s">
        <v>113</v>
      </c>
      <c r="F28" s="9"/>
      <c r="G28" s="9"/>
      <c r="H28" s="9"/>
      <c r="I28" s="9"/>
      <c r="J28" s="9"/>
    </row>
    <row r="29" ht="15.75" customHeight="1">
      <c r="A29" s="9" t="s">
        <v>186</v>
      </c>
      <c r="B29" s="9" t="s">
        <v>187</v>
      </c>
      <c r="C29" s="9" t="s">
        <v>175</v>
      </c>
      <c r="D29" s="9" t="s">
        <v>188</v>
      </c>
      <c r="E29" s="13" t="s">
        <v>113</v>
      </c>
      <c r="F29" s="13" t="s">
        <v>113</v>
      </c>
      <c r="G29" s="9"/>
      <c r="H29" s="9"/>
      <c r="I29" s="13" t="s">
        <v>113</v>
      </c>
      <c r="J29" s="9"/>
    </row>
    <row r="30" ht="15.75" customHeight="1">
      <c r="A30" s="9" t="s">
        <v>189</v>
      </c>
      <c r="B30" s="9" t="s">
        <v>190</v>
      </c>
      <c r="C30" s="9" t="s">
        <v>175</v>
      </c>
      <c r="D30" s="9" t="s">
        <v>191</v>
      </c>
      <c r="E30" s="13" t="s">
        <v>113</v>
      </c>
      <c r="F30" s="13" t="s">
        <v>113</v>
      </c>
      <c r="G30" s="9"/>
      <c r="H30" s="9"/>
      <c r="I30" s="13" t="s">
        <v>113</v>
      </c>
      <c r="J30" s="13" t="s">
        <v>113</v>
      </c>
    </row>
    <row r="31" ht="15.75" customHeight="1"/>
    <row r="32" ht="15.75" customHeight="1"/>
    <row r="33" ht="15.75" customHeight="1">
      <c r="A33" s="14" t="s">
        <v>192</v>
      </c>
    </row>
    <row r="34" ht="15.75" customHeight="1">
      <c r="A34" s="15" t="s">
        <v>113</v>
      </c>
      <c r="B34" s="16" t="s">
        <v>193</v>
      </c>
    </row>
    <row r="35" ht="15.75" customHeight="1"/>
    <row r="36" ht="15.75" customHeight="1">
      <c r="A36" s="14" t="s">
        <v>194</v>
      </c>
    </row>
    <row r="37" ht="15.75" customHeight="1">
      <c r="A37" s="16" t="s">
        <v>195</v>
      </c>
      <c r="C37" s="16" t="s">
        <v>196</v>
      </c>
    </row>
    <row r="38" ht="15.75" customHeight="1">
      <c r="A38" s="16" t="s">
        <v>197</v>
      </c>
      <c r="C38" s="16" t="s">
        <v>198</v>
      </c>
    </row>
    <row r="39" ht="15.75" customHeight="1">
      <c r="A39" s="16" t="s">
        <v>199</v>
      </c>
      <c r="C39" s="16" t="s">
        <v>200</v>
      </c>
    </row>
    <row r="40" ht="15.75" customHeight="1">
      <c r="A40" s="16" t="s">
        <v>201</v>
      </c>
      <c r="C40" s="16" t="s">
        <v>202</v>
      </c>
    </row>
    <row r="41" ht="15.75" customHeight="1">
      <c r="A41" s="16" t="s">
        <v>203</v>
      </c>
      <c r="C41" s="16" t="s">
        <v>204</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3:D3"/>
    <mergeCell ref="E3:J3"/>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5.0"/>
    <col customWidth="1" min="3" max="5" width="12.0"/>
    <col customWidth="1" min="6" max="6" width="15.0"/>
    <col customWidth="1" min="7" max="7" width="8.0"/>
    <col customWidth="1" min="8" max="8" width="10.0"/>
    <col customWidth="1" min="9" max="9" width="20.0"/>
    <col customWidth="1" min="10" max="26" width="8.71"/>
  </cols>
  <sheetData>
    <row r="1">
      <c r="A1" s="12" t="s">
        <v>205</v>
      </c>
    </row>
    <row r="3">
      <c r="A3" s="6" t="s">
        <v>206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c r="A43" s="2" t="s">
        <v>207</v>
      </c>
      <c r="B43" s="3"/>
      <c r="C43" s="3"/>
      <c r="D43" s="3"/>
      <c r="E43" s="3"/>
      <c r="F43" s="3"/>
      <c r="G43" s="3"/>
      <c r="H43" s="3"/>
      <c r="I43" s="4"/>
    </row>
    <row r="44" ht="15.75" customHeight="1">
      <c r="A44" s="7" t="s">
        <v>208</v>
      </c>
      <c r="B44" s="7" t="s">
        <v>209</v>
      </c>
      <c r="C44" s="7" t="s">
        <v>210</v>
      </c>
      <c r="D44" s="7" t="s">
        <v>211</v>
      </c>
      <c r="E44" s="7" t="s">
        <v>212</v>
      </c>
      <c r="F44" s="7" t="s">
        <v>213</v>
      </c>
      <c r="G44" s="7" t="s">
        <v>214</v>
      </c>
      <c r="H44" s="7" t="s">
        <v>215</v>
      </c>
      <c r="I44" s="7" t="s">
        <v>216</v>
      </c>
    </row>
    <row r="45" ht="15.75" customHeight="1">
      <c r="A45" s="9" t="s">
        <v>217</v>
      </c>
      <c r="B45" s="9" t="s">
        <v>153</v>
      </c>
      <c r="C45" s="9" t="s">
        <v>181</v>
      </c>
      <c r="D45" s="9" t="s">
        <v>218</v>
      </c>
      <c r="E45" s="9" t="s">
        <v>219</v>
      </c>
      <c r="F45" s="9" t="s">
        <v>220</v>
      </c>
      <c r="G45" s="13" t="s">
        <v>113</v>
      </c>
      <c r="H45" s="13" t="s">
        <v>113</v>
      </c>
      <c r="I45" s="9" t="s">
        <v>221</v>
      </c>
    </row>
    <row r="46" ht="15.75" customHeight="1">
      <c r="A46" s="9" t="s">
        <v>222</v>
      </c>
      <c r="B46" s="9" t="s">
        <v>223</v>
      </c>
      <c r="C46" s="9" t="s">
        <v>181</v>
      </c>
      <c r="D46" s="9" t="s">
        <v>218</v>
      </c>
      <c r="E46" s="9" t="s">
        <v>224</v>
      </c>
      <c r="F46" s="9" t="s">
        <v>220</v>
      </c>
      <c r="G46" s="13" t="s">
        <v>113</v>
      </c>
      <c r="H46" s="13" t="s">
        <v>113</v>
      </c>
      <c r="I46" s="9" t="s">
        <v>225</v>
      </c>
    </row>
    <row r="47" ht="15.75" customHeight="1">
      <c r="A47" s="9" t="s">
        <v>226</v>
      </c>
      <c r="B47" s="9" t="s">
        <v>227</v>
      </c>
      <c r="C47" s="9" t="s">
        <v>60</v>
      </c>
      <c r="D47" s="9" t="s">
        <v>218</v>
      </c>
      <c r="E47" s="9" t="s">
        <v>228</v>
      </c>
      <c r="F47" s="9" t="s">
        <v>229</v>
      </c>
      <c r="G47" s="13" t="s">
        <v>113</v>
      </c>
      <c r="H47" s="13" t="s">
        <v>113</v>
      </c>
      <c r="I47" s="9" t="s">
        <v>230</v>
      </c>
    </row>
    <row r="48" ht="15.75" customHeight="1">
      <c r="A48" s="9" t="s">
        <v>231</v>
      </c>
      <c r="B48" s="9" t="s">
        <v>232</v>
      </c>
      <c r="C48" s="9" t="s">
        <v>218</v>
      </c>
      <c r="D48" s="9" t="s">
        <v>60</v>
      </c>
      <c r="E48" s="9" t="s">
        <v>233</v>
      </c>
      <c r="F48" s="9" t="s">
        <v>93</v>
      </c>
      <c r="G48" s="13" t="s">
        <v>113</v>
      </c>
      <c r="H48" s="9"/>
      <c r="I48" s="9" t="s">
        <v>234</v>
      </c>
    </row>
    <row r="49" ht="15.75" customHeight="1">
      <c r="A49" s="9" t="s">
        <v>235</v>
      </c>
      <c r="B49" s="9" t="s">
        <v>236</v>
      </c>
      <c r="C49" s="9" t="s">
        <v>237</v>
      </c>
      <c r="D49" s="9" t="s">
        <v>218</v>
      </c>
      <c r="E49" s="9" t="s">
        <v>238</v>
      </c>
      <c r="F49" s="9" t="s">
        <v>239</v>
      </c>
      <c r="G49" s="9"/>
      <c r="H49" s="13" t="s">
        <v>113</v>
      </c>
      <c r="I49" s="9" t="s">
        <v>240</v>
      </c>
    </row>
    <row r="50" ht="15.75" customHeight="1">
      <c r="A50" s="9" t="s">
        <v>241</v>
      </c>
      <c r="B50" s="9" t="s">
        <v>242</v>
      </c>
      <c r="C50" s="9" t="s">
        <v>237</v>
      </c>
      <c r="D50" s="9" t="s">
        <v>218</v>
      </c>
      <c r="E50" s="9" t="s">
        <v>243</v>
      </c>
      <c r="F50" s="9" t="s">
        <v>244</v>
      </c>
      <c r="G50" s="9"/>
      <c r="H50" s="13" t="s">
        <v>113</v>
      </c>
      <c r="I50" s="9" t="s">
        <v>245</v>
      </c>
    </row>
    <row r="51" ht="15.75" customHeight="1">
      <c r="A51" s="9" t="s">
        <v>246</v>
      </c>
      <c r="B51" s="9" t="s">
        <v>247</v>
      </c>
      <c r="C51" s="9" t="s">
        <v>248</v>
      </c>
      <c r="D51" s="9" t="s">
        <v>249</v>
      </c>
      <c r="E51" s="9" t="s">
        <v>250</v>
      </c>
      <c r="F51" s="9" t="s">
        <v>251</v>
      </c>
      <c r="G51" s="9"/>
      <c r="H51" s="13" t="s">
        <v>113</v>
      </c>
      <c r="I51" s="9" t="s">
        <v>252</v>
      </c>
    </row>
    <row r="52" ht="15.75" customHeight="1">
      <c r="A52" s="9" t="s">
        <v>253</v>
      </c>
      <c r="B52" s="9" t="s">
        <v>254</v>
      </c>
      <c r="C52" s="9" t="s">
        <v>249</v>
      </c>
      <c r="D52" s="9" t="s">
        <v>248</v>
      </c>
      <c r="E52" s="9" t="s">
        <v>255</v>
      </c>
      <c r="F52" s="9" t="s">
        <v>251</v>
      </c>
      <c r="G52" s="9"/>
      <c r="H52" s="9"/>
      <c r="I52" s="9" t="s">
        <v>256</v>
      </c>
    </row>
    <row r="53" ht="15.75" customHeight="1">
      <c r="A53" s="9" t="s">
        <v>257</v>
      </c>
      <c r="B53" s="9" t="s">
        <v>258</v>
      </c>
      <c r="C53" s="9" t="s">
        <v>249</v>
      </c>
      <c r="D53" s="9" t="s">
        <v>190</v>
      </c>
      <c r="E53" s="9" t="s">
        <v>259</v>
      </c>
      <c r="F53" s="9" t="s">
        <v>260</v>
      </c>
      <c r="G53" s="9"/>
      <c r="H53" s="13" t="s">
        <v>113</v>
      </c>
      <c r="I53" s="9" t="s">
        <v>261</v>
      </c>
    </row>
    <row r="54" ht="15.75" customHeight="1">
      <c r="A54" s="9" t="s">
        <v>262</v>
      </c>
      <c r="B54" s="9" t="s">
        <v>263</v>
      </c>
      <c r="C54" s="9" t="s">
        <v>190</v>
      </c>
      <c r="D54" s="9" t="s">
        <v>249</v>
      </c>
      <c r="E54" s="9" t="s">
        <v>259</v>
      </c>
      <c r="F54" s="9" t="s">
        <v>66</v>
      </c>
      <c r="G54" s="9"/>
      <c r="H54" s="9"/>
      <c r="I54" s="9" t="s">
        <v>264</v>
      </c>
    </row>
    <row r="55" ht="15.75" customHeight="1">
      <c r="A55" s="9" t="s">
        <v>265</v>
      </c>
      <c r="B55" s="9" t="s">
        <v>266</v>
      </c>
      <c r="C55" s="9" t="s">
        <v>187</v>
      </c>
      <c r="D55" s="9" t="s">
        <v>218</v>
      </c>
      <c r="E55" s="9" t="s">
        <v>267</v>
      </c>
      <c r="F55" s="9" t="s">
        <v>268</v>
      </c>
      <c r="G55" s="9"/>
      <c r="H55" s="9"/>
      <c r="I55" s="9" t="s">
        <v>269</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I1"/>
    <mergeCell ref="A3:I40"/>
    <mergeCell ref="A43:I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2" t="s">
        <v>270</v>
      </c>
    </row>
    <row r="3">
      <c r="A3" s="2" t="s">
        <v>271</v>
      </c>
      <c r="B3" s="3"/>
      <c r="C3" s="3"/>
      <c r="D3" s="3"/>
      <c r="E3" s="3"/>
      <c r="F3" s="4"/>
    </row>
    <row r="4">
      <c r="A4" s="6" t="s">
        <v>272</v>
      </c>
    </row>
    <row r="21" ht="15.75" customHeight="1"/>
    <row r="22" ht="15.75" customHeight="1"/>
    <row r="23" ht="15.75" customHeight="1"/>
    <row r="24" ht="15.75" customHeight="1">
      <c r="A24" s="2" t="s">
        <v>273</v>
      </c>
      <c r="B24" s="3"/>
      <c r="C24" s="3"/>
      <c r="D24" s="3"/>
      <c r="E24" s="3"/>
      <c r="F24" s="4"/>
    </row>
    <row r="25" ht="15.75" customHeight="1">
      <c r="A25" s="6" t="s">
        <v>274</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c r="A45" s="2" t="s">
        <v>275</v>
      </c>
      <c r="B45" s="3"/>
      <c r="C45" s="3"/>
      <c r="D45" s="3"/>
      <c r="E45" s="3"/>
      <c r="F45" s="4"/>
    </row>
    <row r="46" ht="15.75" customHeight="1">
      <c r="A46" s="6" t="s">
        <v>276</v>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c r="A66" s="2" t="s">
        <v>277</v>
      </c>
      <c r="B66" s="3"/>
      <c r="C66" s="3"/>
      <c r="D66" s="3"/>
      <c r="E66" s="3"/>
      <c r="F66" s="4"/>
    </row>
    <row r="67" ht="15.75" customHeight="1">
      <c r="A67" s="6" t="s">
        <v>278</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c r="A88" s="2" t="s">
        <v>279</v>
      </c>
      <c r="B88" s="3"/>
      <c r="C88" s="3"/>
      <c r="D88" s="3"/>
      <c r="E88" s="3"/>
      <c r="F88" s="4"/>
    </row>
    <row r="89" ht="15.75" customHeight="1">
      <c r="A89" s="7" t="s">
        <v>280</v>
      </c>
      <c r="B89" s="7" t="s">
        <v>281</v>
      </c>
      <c r="C89" s="7" t="s">
        <v>282</v>
      </c>
      <c r="D89" s="7" t="s">
        <v>283</v>
      </c>
      <c r="E89" s="7" t="s">
        <v>284</v>
      </c>
    </row>
    <row r="90" ht="15.75" customHeight="1">
      <c r="A90" s="9" t="s">
        <v>285</v>
      </c>
      <c r="B90" s="9" t="s">
        <v>286</v>
      </c>
      <c r="C90" s="9" t="s">
        <v>287</v>
      </c>
      <c r="D90" s="9" t="s">
        <v>288</v>
      </c>
      <c r="E90" s="17" t="s">
        <v>289</v>
      </c>
    </row>
    <row r="91" ht="15.75" customHeight="1">
      <c r="A91" s="9" t="s">
        <v>290</v>
      </c>
      <c r="B91" s="9" t="s">
        <v>291</v>
      </c>
      <c r="C91" s="9" t="s">
        <v>292</v>
      </c>
      <c r="D91" s="9" t="s">
        <v>293</v>
      </c>
      <c r="E91" s="18" t="s">
        <v>294</v>
      </c>
    </row>
    <row r="92" ht="15.75" customHeight="1">
      <c r="A92" s="9" t="s">
        <v>295</v>
      </c>
      <c r="B92" s="9" t="s">
        <v>296</v>
      </c>
      <c r="C92" s="9" t="s">
        <v>297</v>
      </c>
      <c r="D92" s="9" t="s">
        <v>298</v>
      </c>
      <c r="E92" s="18" t="s">
        <v>294</v>
      </c>
    </row>
    <row r="93" ht="15.75" customHeight="1">
      <c r="A93" s="9" t="s">
        <v>299</v>
      </c>
      <c r="B93" s="9" t="s">
        <v>300</v>
      </c>
      <c r="C93" s="9" t="s">
        <v>301</v>
      </c>
      <c r="D93" s="9" t="s">
        <v>302</v>
      </c>
      <c r="E93" s="17" t="s">
        <v>289</v>
      </c>
    </row>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66:F66"/>
    <mergeCell ref="A67:F85"/>
    <mergeCell ref="A88:F88"/>
    <mergeCell ref="A1:F1"/>
    <mergeCell ref="A3:F3"/>
    <mergeCell ref="A4:F22"/>
    <mergeCell ref="A24:F24"/>
    <mergeCell ref="A25:F43"/>
    <mergeCell ref="A45:F45"/>
    <mergeCell ref="A46:F64"/>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12.0"/>
    <col customWidth="1" min="3" max="5" width="10.0"/>
    <col customWidth="1" min="6" max="6" width="14.86"/>
    <col customWidth="1" min="7" max="7" width="27.0"/>
    <col customWidth="1" min="8" max="8" width="12.29"/>
    <col customWidth="1" min="9" max="9" width="53.86"/>
    <col customWidth="1" min="10" max="10" width="82.29"/>
    <col customWidth="1" min="11" max="12" width="10.0"/>
    <col customWidth="1" min="13" max="13" width="7.57"/>
    <col customWidth="1" min="14" max="14" width="10.0"/>
    <col customWidth="1" min="15" max="15" width="7.71"/>
    <col customWidth="1" min="16" max="16" width="10.0"/>
    <col customWidth="1" min="17" max="17" width="8.0"/>
    <col customWidth="1" min="18" max="18" width="10.0"/>
    <col customWidth="1" min="19" max="19" width="7.86"/>
    <col customWidth="1" min="20" max="20" width="8.0"/>
    <col customWidth="1" min="21" max="21" width="10.0"/>
    <col customWidth="1" min="22" max="22" width="14.0"/>
    <col customWidth="1" min="23" max="23" width="18.0"/>
    <col customWidth="1" min="24" max="24" width="6.0"/>
    <col customWidth="1" min="25" max="25" width="14.0"/>
    <col customWidth="1" min="26" max="26" width="28.0"/>
    <col customWidth="1" min="27" max="27" width="6.0"/>
    <col customWidth="1" min="28" max="28" width="14.0"/>
    <col customWidth="1" min="29" max="29" width="12.0"/>
    <col customWidth="1" min="30" max="30" width="6.0"/>
    <col customWidth="1" min="31" max="31" width="14.0"/>
    <col customWidth="1" min="32" max="32" width="23.71"/>
    <col customWidth="1" min="33" max="33" width="6.0"/>
    <col customWidth="1" min="34" max="34" width="8.0"/>
    <col customWidth="1" min="35" max="36" width="10.0"/>
    <col customWidth="1" min="37" max="37" width="12.0"/>
    <col customWidth="1" min="38" max="38" width="18.0"/>
    <col customWidth="1" min="39" max="39" width="25.0"/>
    <col customWidth="1" min="40" max="40" width="12.0"/>
  </cols>
  <sheetData>
    <row r="1">
      <c r="A1" s="12" t="s">
        <v>303</v>
      </c>
    </row>
    <row r="3">
      <c r="A3" s="19" t="s">
        <v>304</v>
      </c>
      <c r="B3" s="3"/>
      <c r="C3" s="3"/>
      <c r="D3" s="3"/>
      <c r="E3" s="3"/>
      <c r="F3" s="4"/>
      <c r="G3" s="2" t="s">
        <v>305</v>
      </c>
      <c r="H3" s="3"/>
      <c r="I3" s="3"/>
      <c r="J3" s="3"/>
      <c r="K3" s="4"/>
      <c r="L3" s="2" t="s">
        <v>306</v>
      </c>
      <c r="M3" s="3"/>
      <c r="N3" s="3"/>
      <c r="O3" s="3"/>
      <c r="P3" s="3"/>
      <c r="Q3" s="3"/>
      <c r="R3" s="3"/>
      <c r="S3" s="3"/>
      <c r="T3" s="3"/>
      <c r="U3" s="4"/>
      <c r="V3" s="2" t="s">
        <v>307</v>
      </c>
      <c r="W3" s="3"/>
      <c r="X3" s="3"/>
      <c r="Y3" s="3"/>
      <c r="Z3" s="3"/>
      <c r="AA3" s="3"/>
      <c r="AB3" s="3"/>
      <c r="AC3" s="3"/>
      <c r="AD3" s="3"/>
      <c r="AE3" s="3"/>
      <c r="AF3" s="3"/>
      <c r="AG3" s="3"/>
      <c r="AH3" s="3"/>
      <c r="AI3" s="4"/>
      <c r="AJ3" s="20" t="s">
        <v>308</v>
      </c>
      <c r="AK3" s="20" t="s">
        <v>309</v>
      </c>
      <c r="AL3" s="2" t="s">
        <v>310</v>
      </c>
      <c r="AM3" s="3"/>
      <c r="AN3" s="4"/>
    </row>
    <row r="4">
      <c r="A4" s="21" t="s">
        <v>311</v>
      </c>
      <c r="B4" s="21" t="s">
        <v>312</v>
      </c>
      <c r="C4" s="22" t="s">
        <v>313</v>
      </c>
      <c r="D4" s="3"/>
      <c r="E4" s="4"/>
      <c r="F4" s="21" t="s">
        <v>314</v>
      </c>
      <c r="G4" s="23" t="s">
        <v>315</v>
      </c>
      <c r="H4" s="23" t="s">
        <v>316</v>
      </c>
      <c r="I4" s="23" t="s">
        <v>317</v>
      </c>
      <c r="J4" s="23" t="s">
        <v>318</v>
      </c>
      <c r="K4" s="21" t="s">
        <v>319</v>
      </c>
      <c r="L4" s="8" t="s">
        <v>320</v>
      </c>
      <c r="M4" s="4"/>
      <c r="N4" s="8" t="s">
        <v>321</v>
      </c>
      <c r="O4" s="4"/>
      <c r="P4" s="8" t="s">
        <v>322</v>
      </c>
      <c r="Q4" s="4"/>
      <c r="R4" s="8" t="s">
        <v>323</v>
      </c>
      <c r="S4" s="4"/>
      <c r="T4" s="8" t="s">
        <v>324</v>
      </c>
      <c r="U4" s="4"/>
      <c r="V4" s="8" t="s">
        <v>325</v>
      </c>
      <c r="W4" s="3"/>
      <c r="X4" s="4"/>
      <c r="Y4" s="8" t="s">
        <v>326</v>
      </c>
      <c r="Z4" s="3"/>
      <c r="AA4" s="4"/>
      <c r="AB4" s="8" t="s">
        <v>327</v>
      </c>
      <c r="AC4" s="3"/>
      <c r="AD4" s="4"/>
      <c r="AE4" s="8" t="s">
        <v>328</v>
      </c>
      <c r="AF4" s="3"/>
      <c r="AG4" s="4"/>
      <c r="AH4" s="8" t="s">
        <v>329</v>
      </c>
      <c r="AI4" s="4"/>
      <c r="AJ4" s="23" t="s">
        <v>330</v>
      </c>
      <c r="AK4" s="23" t="s">
        <v>331</v>
      </c>
      <c r="AL4" s="23" t="s">
        <v>332</v>
      </c>
      <c r="AM4" s="23" t="s">
        <v>333</v>
      </c>
      <c r="AN4" s="24" t="s">
        <v>334</v>
      </c>
    </row>
    <row r="5">
      <c r="A5" s="25"/>
      <c r="B5" s="25"/>
      <c r="C5" s="24" t="s">
        <v>335</v>
      </c>
      <c r="D5" s="24" t="s">
        <v>336</v>
      </c>
      <c r="E5" s="24" t="s">
        <v>337</v>
      </c>
      <c r="F5" s="25"/>
      <c r="G5" s="25"/>
      <c r="H5" s="25"/>
      <c r="I5" s="25"/>
      <c r="J5" s="25"/>
      <c r="K5" s="26" t="s">
        <v>338</v>
      </c>
      <c r="L5" s="27" t="s">
        <v>339</v>
      </c>
      <c r="M5" s="28" t="s">
        <v>340</v>
      </c>
      <c r="N5" s="28" t="s">
        <v>341</v>
      </c>
      <c r="O5" s="28" t="s">
        <v>340</v>
      </c>
      <c r="P5" s="28" t="s">
        <v>342</v>
      </c>
      <c r="Q5" s="28" t="s">
        <v>340</v>
      </c>
      <c r="R5" s="28" t="s">
        <v>342</v>
      </c>
      <c r="S5" s="28" t="s">
        <v>340</v>
      </c>
      <c r="T5" s="28" t="s">
        <v>343</v>
      </c>
      <c r="U5" s="28" t="s">
        <v>342</v>
      </c>
      <c r="V5" s="28" t="s">
        <v>341</v>
      </c>
      <c r="W5" s="28" t="s">
        <v>344</v>
      </c>
      <c r="X5" s="28" t="s">
        <v>340</v>
      </c>
      <c r="Y5" s="28" t="s">
        <v>341</v>
      </c>
      <c r="Z5" s="28" t="s">
        <v>344</v>
      </c>
      <c r="AA5" s="28" t="s">
        <v>340</v>
      </c>
      <c r="AB5" s="28" t="s">
        <v>341</v>
      </c>
      <c r="AC5" s="28" t="s">
        <v>344</v>
      </c>
      <c r="AD5" s="28" t="s">
        <v>340</v>
      </c>
      <c r="AE5" s="28" t="s">
        <v>341</v>
      </c>
      <c r="AF5" s="28" t="s">
        <v>344</v>
      </c>
      <c r="AG5" s="28" t="s">
        <v>340</v>
      </c>
      <c r="AH5" s="28" t="s">
        <v>345</v>
      </c>
      <c r="AI5" s="28" t="s">
        <v>346</v>
      </c>
      <c r="AJ5" s="25"/>
      <c r="AK5" s="25"/>
      <c r="AL5" s="25"/>
      <c r="AM5" s="25"/>
      <c r="AN5" s="27" t="s">
        <v>347</v>
      </c>
    </row>
    <row r="6" ht="15.75" customHeight="1">
      <c r="A6" s="29" t="s">
        <v>348</v>
      </c>
      <c r="B6" s="29" t="s">
        <v>349</v>
      </c>
      <c r="C6" s="29" t="s">
        <v>350</v>
      </c>
      <c r="D6" s="29" t="s">
        <v>351</v>
      </c>
      <c r="E6" s="29" t="s">
        <v>42</v>
      </c>
      <c r="F6" s="29" t="s">
        <v>111</v>
      </c>
      <c r="G6" s="29" t="s">
        <v>352</v>
      </c>
      <c r="H6" s="30" t="s">
        <v>353</v>
      </c>
      <c r="I6" s="30" t="s">
        <v>354</v>
      </c>
      <c r="J6" s="30" t="s">
        <v>355</v>
      </c>
      <c r="K6" s="29" t="s">
        <v>356</v>
      </c>
      <c r="L6" s="29" t="s">
        <v>357</v>
      </c>
      <c r="M6" s="29">
        <f t="shared" ref="M6:M21" si="1">IF(L6="网络",0.85,IF(L6="邻居",0.62,IF(L6="本地",0.55,IF(L6="物理",0.2))))</f>
        <v>0.55</v>
      </c>
      <c r="N6" s="29" t="s">
        <v>358</v>
      </c>
      <c r="O6" s="31">
        <f t="shared" ref="O6:O21" si="2">IF(N6="低",0.77,IF(N6="高",0.44))</f>
        <v>0.77</v>
      </c>
      <c r="P6" s="29" t="s">
        <v>358</v>
      </c>
      <c r="Q6" s="31">
        <f t="shared" ref="Q6:Q21" si="3">IF(P6="无",0.85,IF(P6="低",0.62,IF(P6="高",0.27)))</f>
        <v>0.62</v>
      </c>
      <c r="R6" s="29" t="s">
        <v>359</v>
      </c>
      <c r="S6" s="31">
        <f t="shared" ref="S6:S21" si="4">IF(R6="不需要",0.85,IF(R6="需要",0.62))</f>
        <v>0.85</v>
      </c>
      <c r="T6" s="31">
        <f t="shared" ref="T6:T21" si="5">8.22*M6*O6*Q6*S6</f>
        <v>1.83457659</v>
      </c>
      <c r="U6" s="31" t="str">
        <f t="shared" ref="U6:U21" si="6">IF(T6&lt;=1.05,"很低",IF(T6&lt;=1.99,"低",IF(T6&lt;=2.95,"中",IF(T6&lt;=3.89,"高"))))</f>
        <v>低</v>
      </c>
      <c r="V6" s="29" t="s">
        <v>360</v>
      </c>
      <c r="W6" s="31" t="str">
        <f t="shared" ref="W6:W21" si="7">IF(V6="可忽略不计的","没有受伤",IF(V6="中等的","轻度和中度伤害",IF(V6="重大的","重伤和生命危险（可能幸存）",IF(V6="严重的","威胁生命的伤害（尚不确定生存），致命伤害"))))</f>
        <v>轻度和中度伤害</v>
      </c>
      <c r="X6" s="31">
        <f t="shared" ref="X6:X21" si="8">IF(V6="可忽略不计的",0,IF(V6="中等的",10,IF(V6="重大的",100,IF(V6="严重的",1000))))</f>
        <v>10</v>
      </c>
      <c r="Y6" s="29" t="s">
        <v>360</v>
      </c>
      <c r="Z6" s="32" t="str">
        <f t="shared" ref="Z6:Z21" si="9">IF(Y6="可忽略不计的","财务损失不会产生任何影响，可忽略给后果或与利益相关者无关",IF(Y6="中等的","经济损失会带来不便的后果，受影响的利益相关者将能够用有限的资源来克服这些后果",IF(Y6="重大的","经济损失导致重大后果，受影响的利益相关者将能够克服",IF(Y6="严重的","经济损失导致灾难性后果，受影响的利益相关者可能无法克服"))))</f>
        <v>经济损失会带来不便的后果，受影响的利益相关者将能够用有限的资源来克服这些后果</v>
      </c>
      <c r="AA6" s="31" t="str">
        <f t="shared" ref="AA6:AA21" si="10">IF(Y6="可忽略不计的",0,IF(Y6="中等的","10",IF(Y6="重大的",100,IF(Y6="严重的",1000))))</f>
        <v>10</v>
      </c>
      <c r="AB6" s="29" t="s">
        <v>361</v>
      </c>
      <c r="AC6" s="32" t="str">
        <f t="shared" ref="AC6:AC21" si="11">IF(AB6="可忽略不计的","操作损坏不会导致车辆功能或性能下降，也不会导致性能下降",IF(AB6="中等的","操作损坏会导致车辆功能或性能的部分下降",IF(AB6="重大的","操作损坏导致车辆功能丧失",IF(AB6="严重的","操作损坏导致车辆从不希望的运行到无法运行的所有车辆不工作"))))</f>
        <v>操作损坏导致车辆功能丧失</v>
      </c>
      <c r="AD6" s="31">
        <f t="shared" ref="AD6:AD21" si="12">IF(AB6="可忽略不计的",0,IF(AB6="中等的",1,IF(AB6="重大的",10,IF(AB6="严重的",100))))</f>
        <v>10</v>
      </c>
      <c r="AE6" s="29" t="s">
        <v>362</v>
      </c>
      <c r="AF6" s="32" t="str">
        <f t="shared" ref="AF6:AF21" si="13">IF(AE6="可忽略不计的","隐私危害不会产生任何影响,也不会给道路使用者带来不便",IF(AE6="中等的","隐私危害给道路使用者带来极大的不便",IF(AE6="重大的","隐私危害会严重影响道路使用者",IF(AE6="严重的","隐私危害对道路使用者造成重大甚至不可逆转的影响"))))</f>
        <v>隐私危害不会产生任何影响,也不会给道路使用者带来不便</v>
      </c>
      <c r="AG6" s="31">
        <f t="shared" ref="AG6:AG21" si="14">IF(AE6="可忽略不计的",0,IF(AE6="中等的",1,IF(AE6="重大的",10,IF(AE6="严重的",100))))</f>
        <v>0</v>
      </c>
      <c r="AH6" s="31">
        <f t="shared" ref="AH6:AH21" si="15">SUM(X6+AA6+AD6+AG6)</f>
        <v>30</v>
      </c>
      <c r="AI6" s="31" t="str">
        <f t="shared" ref="AI6:AI21" si="16">IF(AH6&gt;=1000,"严重的",IF(AH6&gt;=100,"重大的",IF(AH6&gt;=20,"中等的",IF(AH6&gt;=10,"微不足道","无影响"))))</f>
        <v>中等的</v>
      </c>
      <c r="AJ6" s="31" t="str">
        <f t="shared" ref="AJ6:AJ21" si="17">IF(AND(AI6="无影响",U6="无"),"QM",IF(AND(AI6="无影响",U6="很低"),"QM",IF(AND(AI6="无影响",U6="低"),"QM",IF(AND(AI6="无影响",U6="中"),"QM",IF(AND(AI6="无影响",U6="高"),"Low",IF(AND(AI6="微不足道",U6="无"),"QM",IF(AND(AI6="微不足道",U6="很低"),"Low",IF(AND(AI6="微不足道",U6="低"),"Low",IF(AND(AI6="微不足道",U6="中"),"Low",IF(AND(AI6="微不足道",U6="高"),"Medium",IF(AND(AI6="中等的",U6="无"),"QM",IF(AND(AI6="中等的",U6="很低"),"Low",IF(AND(AI6="中等的",U6="低"),"Medium",IF(AND(AI6="中等的",U6="中"),"Medium",IF(AND(AI6="中等的",U6="高"),"High",IF(AND(AI6="重大的",U6="无"),"QM",IF(AND(AI6="重大的",U6="很低"),"Low",IF(AND(AI6="重大的",U6="低"),"Medium",IF(AND(AI6="重大的",U6="中"),"High",IF(AND(AI6="重大的",U6="高"),"High",IF(AND(AI6="严重的",U6="无"),"Low",IF(AND(AI6="严重的",U6="很低"),"Medium",IF(AND(AI6="严重的",U6="低"),"High",IF(AND(AI6="严重的",U6="中"),"High",IF(AND(AI6="严重的",U6="高"),"Critical")))))))))))))))))))))))))</f>
        <v>Medium</v>
      </c>
      <c r="AK6" s="31" t="str">
        <f t="shared" ref="AK6:AK21" si="18">IF(OR(AJ6="QM",AJ6="Low"),"保留风险",IF(OR(AJ6="Medium",AJ6="Critical",AJ6="High"),"降低风险","保留风险"))</f>
        <v>降低风险</v>
      </c>
      <c r="AL6" s="31" t="str">
        <f t="shared" ref="AL6:AL21" si="19">IF(AK6="保留风险","/",IF(OR(AK6="降低风险",AK6="转移风险",AK6="消除风险"),"应保护"&amp;E6&amp;"的"&amp;G6,"NA"))</f>
        <v>应保护SOC的"Authenticity
真实性"</v>
      </c>
      <c r="AM6" s="30" t="s">
        <v>363</v>
      </c>
      <c r="AN6" s="31" t="str">
        <f t="shared" ref="AN6:AN21" si="20">IF(H6="T篡改","M10",IF(H6="D拒绝服务","M13",IF(H6="I信息泄露","M12"&amp;CHAR(10)&amp;"M24",IF(H6="S欺骗","M10"&amp;CHAR(10)&amp;"M11",IF(H6="E权限提升","M8"&amp;CHAR(10)&amp;"M9",IF(H6="R抵赖","M9"&amp;CHAR(10)&amp;"M10"))))))</f>
        <v>M10
M11</v>
      </c>
    </row>
    <row r="7" ht="15.75" customHeight="1">
      <c r="E7" s="29" t="s">
        <v>42</v>
      </c>
      <c r="G7" s="29" t="s">
        <v>364</v>
      </c>
      <c r="H7" s="30" t="s">
        <v>365</v>
      </c>
      <c r="I7" s="30" t="s">
        <v>366</v>
      </c>
      <c r="J7" s="30" t="s">
        <v>367</v>
      </c>
      <c r="K7" s="29" t="s">
        <v>368</v>
      </c>
      <c r="L7" s="29" t="s">
        <v>357</v>
      </c>
      <c r="M7" s="29">
        <f t="shared" si="1"/>
        <v>0.55</v>
      </c>
      <c r="N7" s="29" t="s">
        <v>358</v>
      </c>
      <c r="O7" s="31">
        <f t="shared" si="2"/>
        <v>0.77</v>
      </c>
      <c r="P7" s="29" t="s">
        <v>358</v>
      </c>
      <c r="Q7" s="31">
        <f t="shared" si="3"/>
        <v>0.62</v>
      </c>
      <c r="R7" s="29" t="s">
        <v>359</v>
      </c>
      <c r="S7" s="31">
        <f t="shared" si="4"/>
        <v>0.85</v>
      </c>
      <c r="T7" s="31">
        <f t="shared" si="5"/>
        <v>1.83457659</v>
      </c>
      <c r="U7" s="31" t="str">
        <f t="shared" si="6"/>
        <v>低</v>
      </c>
      <c r="V7" s="29" t="s">
        <v>362</v>
      </c>
      <c r="W7" s="31" t="str">
        <f t="shared" si="7"/>
        <v>没有受伤</v>
      </c>
      <c r="X7" s="31">
        <f t="shared" si="8"/>
        <v>0</v>
      </c>
      <c r="Y7" s="29" t="s">
        <v>360</v>
      </c>
      <c r="Z7" s="32" t="str">
        <f t="shared" si="9"/>
        <v>经济损失会带来不便的后果，受影响的利益相关者将能够用有限的资源来克服这些后果</v>
      </c>
      <c r="AA7" s="31" t="str">
        <f t="shared" si="10"/>
        <v>10</v>
      </c>
      <c r="AB7" s="29" t="s">
        <v>361</v>
      </c>
      <c r="AC7" s="32" t="str">
        <f t="shared" si="11"/>
        <v>操作损坏导致车辆功能丧失</v>
      </c>
      <c r="AD7" s="31">
        <f t="shared" si="12"/>
        <v>10</v>
      </c>
      <c r="AE7" s="29" t="s">
        <v>362</v>
      </c>
      <c r="AF7" s="32" t="str">
        <f t="shared" si="13"/>
        <v>隐私危害不会产生任何影响,也不会给道路使用者带来不便</v>
      </c>
      <c r="AG7" s="31">
        <f t="shared" si="14"/>
        <v>0</v>
      </c>
      <c r="AH7" s="31">
        <f t="shared" si="15"/>
        <v>20</v>
      </c>
      <c r="AI7" s="31" t="str">
        <f t="shared" si="16"/>
        <v>中等的</v>
      </c>
      <c r="AJ7" s="31" t="str">
        <f t="shared" si="17"/>
        <v>Medium</v>
      </c>
      <c r="AK7" s="31" t="str">
        <f t="shared" si="18"/>
        <v>降低风险</v>
      </c>
      <c r="AL7" s="31" t="str">
        <f t="shared" si="19"/>
        <v>应保护SOC的"Availability
可用性"</v>
      </c>
      <c r="AM7" s="30" t="s">
        <v>369</v>
      </c>
      <c r="AN7" s="31" t="str">
        <f t="shared" si="20"/>
        <v>M13</v>
      </c>
    </row>
    <row r="8" ht="15.75" customHeight="1">
      <c r="A8" s="33" t="s">
        <v>370</v>
      </c>
      <c r="B8" s="34" t="s">
        <v>349</v>
      </c>
      <c r="C8" s="34" t="s">
        <v>371</v>
      </c>
      <c r="D8" s="34" t="s">
        <v>372</v>
      </c>
      <c r="E8" s="34" t="s">
        <v>373</v>
      </c>
      <c r="F8" s="34" t="s">
        <v>137</v>
      </c>
      <c r="G8" s="34" t="s">
        <v>374</v>
      </c>
      <c r="H8" s="34" t="s">
        <v>353</v>
      </c>
      <c r="I8" s="34" t="s">
        <v>375</v>
      </c>
      <c r="J8" s="34" t="s">
        <v>376</v>
      </c>
      <c r="K8" s="34" t="s">
        <v>377</v>
      </c>
      <c r="L8" s="34" t="s">
        <v>357</v>
      </c>
      <c r="M8" s="29">
        <f t="shared" si="1"/>
        <v>0.55</v>
      </c>
      <c r="N8" s="34" t="s">
        <v>378</v>
      </c>
      <c r="O8" s="31">
        <f t="shared" si="2"/>
        <v>0.44</v>
      </c>
      <c r="P8" s="34" t="s">
        <v>358</v>
      </c>
      <c r="Q8" s="31">
        <f t="shared" si="3"/>
        <v>0.62</v>
      </c>
      <c r="R8" s="34" t="s">
        <v>359</v>
      </c>
      <c r="S8" s="31">
        <f t="shared" si="4"/>
        <v>0.85</v>
      </c>
      <c r="T8" s="31">
        <f t="shared" si="5"/>
        <v>1.04832948</v>
      </c>
      <c r="U8" s="31" t="str">
        <f t="shared" si="6"/>
        <v>很低</v>
      </c>
      <c r="V8" s="34" t="s">
        <v>360</v>
      </c>
      <c r="W8" s="31" t="str">
        <f t="shared" si="7"/>
        <v>轻度和中度伤害</v>
      </c>
      <c r="X8" s="31">
        <f t="shared" si="8"/>
        <v>10</v>
      </c>
      <c r="Y8" s="34" t="s">
        <v>360</v>
      </c>
      <c r="Z8" s="32" t="str">
        <f t="shared" si="9"/>
        <v>经济损失会带来不便的后果，受影响的利益相关者将能够用有限的资源来克服这些后果</v>
      </c>
      <c r="AA8" s="31" t="str">
        <f t="shared" si="10"/>
        <v>10</v>
      </c>
      <c r="AB8" s="34" t="s">
        <v>361</v>
      </c>
      <c r="AC8" s="32" t="str">
        <f t="shared" si="11"/>
        <v>操作损坏导致车辆功能丧失</v>
      </c>
      <c r="AD8" s="31">
        <f t="shared" si="12"/>
        <v>10</v>
      </c>
      <c r="AE8" s="34" t="s">
        <v>362</v>
      </c>
      <c r="AF8" s="32" t="str">
        <f t="shared" si="13"/>
        <v>隐私危害不会产生任何影响,也不会给道路使用者带来不便</v>
      </c>
      <c r="AG8" s="31">
        <f t="shared" si="14"/>
        <v>0</v>
      </c>
      <c r="AH8" s="31">
        <f t="shared" si="15"/>
        <v>30</v>
      </c>
      <c r="AI8" s="31" t="str">
        <f t="shared" si="16"/>
        <v>中等的</v>
      </c>
      <c r="AJ8" s="31" t="str">
        <f t="shared" si="17"/>
        <v>Low</v>
      </c>
      <c r="AK8" s="31" t="str">
        <f t="shared" si="18"/>
        <v>保留风险</v>
      </c>
      <c r="AL8" s="31" t="str">
        <f t="shared" si="19"/>
        <v>/</v>
      </c>
      <c r="AM8" s="35"/>
      <c r="AN8" s="31" t="str">
        <f t="shared" si="20"/>
        <v>M10
M11</v>
      </c>
    </row>
    <row r="9" ht="15.75" customHeight="1">
      <c r="E9" s="34" t="s">
        <v>373</v>
      </c>
      <c r="F9" s="34" t="s">
        <v>137</v>
      </c>
      <c r="G9" s="34" t="s">
        <v>379</v>
      </c>
      <c r="H9" s="34" t="s">
        <v>380</v>
      </c>
      <c r="I9" s="34" t="s">
        <v>381</v>
      </c>
      <c r="J9" s="34" t="s">
        <v>382</v>
      </c>
      <c r="K9" s="34" t="s">
        <v>383</v>
      </c>
      <c r="L9" s="34" t="s">
        <v>357</v>
      </c>
      <c r="M9" s="29">
        <f t="shared" si="1"/>
        <v>0.55</v>
      </c>
      <c r="N9" s="34" t="s">
        <v>358</v>
      </c>
      <c r="O9" s="31">
        <f t="shared" si="2"/>
        <v>0.77</v>
      </c>
      <c r="P9" s="34" t="s">
        <v>358</v>
      </c>
      <c r="Q9" s="31">
        <f t="shared" si="3"/>
        <v>0.62</v>
      </c>
      <c r="R9" s="34" t="s">
        <v>384</v>
      </c>
      <c r="S9" s="31">
        <f t="shared" si="4"/>
        <v>0.62</v>
      </c>
      <c r="T9" s="31">
        <f t="shared" si="5"/>
        <v>1.338161748</v>
      </c>
      <c r="U9" s="31" t="str">
        <f t="shared" si="6"/>
        <v>低</v>
      </c>
      <c r="V9" s="34" t="s">
        <v>362</v>
      </c>
      <c r="W9" s="31" t="str">
        <f t="shared" si="7"/>
        <v>没有受伤</v>
      </c>
      <c r="X9" s="31">
        <f t="shared" si="8"/>
        <v>0</v>
      </c>
      <c r="Y9" s="34" t="s">
        <v>360</v>
      </c>
      <c r="Z9" s="32" t="str">
        <f t="shared" si="9"/>
        <v>经济损失会带来不便的后果，受影响的利益相关者将能够用有限的资源来克服这些后果</v>
      </c>
      <c r="AA9" s="31" t="str">
        <f t="shared" si="10"/>
        <v>10</v>
      </c>
      <c r="AB9" s="34" t="s">
        <v>361</v>
      </c>
      <c r="AC9" s="32" t="str">
        <f t="shared" si="11"/>
        <v>操作损坏导致车辆功能丧失</v>
      </c>
      <c r="AD9" s="31">
        <f t="shared" si="12"/>
        <v>10</v>
      </c>
      <c r="AE9" s="34" t="s">
        <v>362</v>
      </c>
      <c r="AF9" s="32" t="str">
        <f t="shared" si="13"/>
        <v>隐私危害不会产生任何影响,也不会给道路使用者带来不便</v>
      </c>
      <c r="AG9" s="31">
        <f t="shared" si="14"/>
        <v>0</v>
      </c>
      <c r="AH9" s="31">
        <f t="shared" si="15"/>
        <v>20</v>
      </c>
      <c r="AI9" s="31" t="str">
        <f t="shared" si="16"/>
        <v>中等的</v>
      </c>
      <c r="AJ9" s="31" t="str">
        <f t="shared" si="17"/>
        <v>Medium</v>
      </c>
      <c r="AK9" s="31" t="str">
        <f t="shared" si="18"/>
        <v>降低风险</v>
      </c>
      <c r="AL9" s="31" t="str">
        <f t="shared" si="19"/>
        <v>应保护媒体源的"Integrity
完整性"</v>
      </c>
      <c r="AM9" s="34" t="s">
        <v>385</v>
      </c>
      <c r="AN9" s="31" t="str">
        <f t="shared" si="20"/>
        <v>M10</v>
      </c>
    </row>
    <row r="10" ht="15.75" customHeight="1">
      <c r="E10" s="34" t="s">
        <v>373</v>
      </c>
      <c r="F10" s="34" t="s">
        <v>137</v>
      </c>
      <c r="G10" s="34" t="s">
        <v>364</v>
      </c>
      <c r="H10" s="34" t="s">
        <v>365</v>
      </c>
      <c r="I10" s="34" t="s">
        <v>386</v>
      </c>
      <c r="J10" s="34" t="s">
        <v>387</v>
      </c>
      <c r="K10" s="34" t="s">
        <v>368</v>
      </c>
      <c r="L10" s="34" t="s">
        <v>357</v>
      </c>
      <c r="M10" s="29">
        <f t="shared" si="1"/>
        <v>0.55</v>
      </c>
      <c r="N10" s="34" t="s">
        <v>358</v>
      </c>
      <c r="O10" s="31">
        <f t="shared" si="2"/>
        <v>0.77</v>
      </c>
      <c r="P10" s="34" t="s">
        <v>378</v>
      </c>
      <c r="Q10" s="31">
        <f t="shared" si="3"/>
        <v>0.27</v>
      </c>
      <c r="R10" s="34" t="s">
        <v>359</v>
      </c>
      <c r="S10" s="31">
        <f t="shared" si="4"/>
        <v>0.85</v>
      </c>
      <c r="T10" s="31">
        <f t="shared" si="5"/>
        <v>0.798928515</v>
      </c>
      <c r="U10" s="31" t="str">
        <f t="shared" si="6"/>
        <v>很低</v>
      </c>
      <c r="V10" s="34" t="s">
        <v>360</v>
      </c>
      <c r="W10" s="31" t="str">
        <f t="shared" si="7"/>
        <v>轻度和中度伤害</v>
      </c>
      <c r="X10" s="31">
        <f t="shared" si="8"/>
        <v>10</v>
      </c>
      <c r="Y10" s="34" t="s">
        <v>360</v>
      </c>
      <c r="Z10" s="32" t="str">
        <f t="shared" si="9"/>
        <v>经济损失会带来不便的后果，受影响的利益相关者将能够用有限的资源来克服这些后果</v>
      </c>
      <c r="AA10" s="31" t="str">
        <f t="shared" si="10"/>
        <v>10</v>
      </c>
      <c r="AB10" s="34" t="s">
        <v>361</v>
      </c>
      <c r="AC10" s="32" t="str">
        <f t="shared" si="11"/>
        <v>操作损坏导致车辆功能丧失</v>
      </c>
      <c r="AD10" s="31">
        <f t="shared" si="12"/>
        <v>10</v>
      </c>
      <c r="AE10" s="34" t="s">
        <v>362</v>
      </c>
      <c r="AF10" s="32" t="str">
        <f t="shared" si="13"/>
        <v>隐私危害不会产生任何影响,也不会给道路使用者带来不便</v>
      </c>
      <c r="AG10" s="31">
        <f t="shared" si="14"/>
        <v>0</v>
      </c>
      <c r="AH10" s="31">
        <f t="shared" si="15"/>
        <v>30</v>
      </c>
      <c r="AI10" s="31" t="str">
        <f t="shared" si="16"/>
        <v>中等的</v>
      </c>
      <c r="AJ10" s="31" t="str">
        <f t="shared" si="17"/>
        <v>Low</v>
      </c>
      <c r="AK10" s="31" t="str">
        <f t="shared" si="18"/>
        <v>保留风险</v>
      </c>
      <c r="AL10" s="31" t="str">
        <f t="shared" si="19"/>
        <v>/</v>
      </c>
      <c r="AM10" s="35"/>
      <c r="AN10" s="31" t="str">
        <f t="shared" si="20"/>
        <v>M13</v>
      </c>
    </row>
    <row r="11" ht="15.75" customHeight="1">
      <c r="A11" s="29" t="s">
        <v>388</v>
      </c>
      <c r="B11" s="29" t="s">
        <v>349</v>
      </c>
      <c r="C11" s="29" t="s">
        <v>350</v>
      </c>
      <c r="D11" s="29" t="s">
        <v>351</v>
      </c>
      <c r="E11" s="29" t="s">
        <v>178</v>
      </c>
      <c r="F11" s="29" t="s">
        <v>175</v>
      </c>
      <c r="G11" s="29" t="s">
        <v>389</v>
      </c>
      <c r="H11" s="29" t="s">
        <v>390</v>
      </c>
      <c r="I11" s="29" t="s">
        <v>391</v>
      </c>
      <c r="J11" s="29" t="s">
        <v>392</v>
      </c>
      <c r="K11" s="29" t="s">
        <v>393</v>
      </c>
      <c r="L11" s="29" t="s">
        <v>357</v>
      </c>
      <c r="M11" s="29">
        <f t="shared" si="1"/>
        <v>0.55</v>
      </c>
      <c r="N11" s="29" t="s">
        <v>358</v>
      </c>
      <c r="O11" s="31">
        <f t="shared" si="2"/>
        <v>0.77</v>
      </c>
      <c r="P11" s="29" t="s">
        <v>358</v>
      </c>
      <c r="Q11" s="31">
        <f t="shared" si="3"/>
        <v>0.62</v>
      </c>
      <c r="R11" s="29" t="s">
        <v>359</v>
      </c>
      <c r="S11" s="31">
        <f t="shared" si="4"/>
        <v>0.85</v>
      </c>
      <c r="T11" s="31">
        <f t="shared" si="5"/>
        <v>1.83457659</v>
      </c>
      <c r="U11" s="31" t="str">
        <f t="shared" si="6"/>
        <v>低</v>
      </c>
      <c r="V11" s="29" t="s">
        <v>360</v>
      </c>
      <c r="W11" s="31" t="str">
        <f t="shared" si="7"/>
        <v>轻度和中度伤害</v>
      </c>
      <c r="X11" s="31">
        <f t="shared" si="8"/>
        <v>10</v>
      </c>
      <c r="Y11" s="29" t="s">
        <v>360</v>
      </c>
      <c r="Z11" s="32" t="str">
        <f t="shared" si="9"/>
        <v>经济损失会带来不便的后果，受影响的利益相关者将能够用有限的资源来克服这些后果</v>
      </c>
      <c r="AA11" s="31" t="str">
        <f t="shared" si="10"/>
        <v>10</v>
      </c>
      <c r="AB11" s="29" t="s">
        <v>361</v>
      </c>
      <c r="AC11" s="32" t="str">
        <f t="shared" si="11"/>
        <v>操作损坏导致车辆功能丧失</v>
      </c>
      <c r="AD11" s="31">
        <f t="shared" si="12"/>
        <v>10</v>
      </c>
      <c r="AE11" s="29" t="s">
        <v>362</v>
      </c>
      <c r="AF11" s="32" t="str">
        <f t="shared" si="13"/>
        <v>隐私危害不会产生任何影响,也不会给道路使用者带来不便</v>
      </c>
      <c r="AG11" s="31">
        <f t="shared" si="14"/>
        <v>0</v>
      </c>
      <c r="AH11" s="31">
        <f t="shared" si="15"/>
        <v>30</v>
      </c>
      <c r="AI11" s="31" t="str">
        <f t="shared" si="16"/>
        <v>中等的</v>
      </c>
      <c r="AJ11" s="31" t="str">
        <f t="shared" si="17"/>
        <v>Medium</v>
      </c>
      <c r="AK11" s="31" t="str">
        <f t="shared" si="18"/>
        <v>降低风险</v>
      </c>
      <c r="AL11" s="31" t="str">
        <f t="shared" si="19"/>
        <v>应保护OBD接口的"Elevation of Privilege
权限提升"</v>
      </c>
      <c r="AM11" s="29" t="s">
        <v>394</v>
      </c>
      <c r="AN11" s="31" t="str">
        <f t="shared" si="20"/>
        <v>M8
M9</v>
      </c>
    </row>
    <row r="12" ht="15.75" customHeight="1">
      <c r="A12" s="29" t="s">
        <v>395</v>
      </c>
      <c r="B12" s="29" t="s">
        <v>349</v>
      </c>
      <c r="C12" s="29" t="s">
        <v>350</v>
      </c>
      <c r="D12" s="29" t="s">
        <v>351</v>
      </c>
      <c r="E12" s="29" t="s">
        <v>396</v>
      </c>
      <c r="F12" s="29" t="s">
        <v>175</v>
      </c>
      <c r="G12" s="29" t="s">
        <v>352</v>
      </c>
      <c r="H12" s="29" t="s">
        <v>353</v>
      </c>
      <c r="I12" s="29" t="s">
        <v>397</v>
      </c>
      <c r="J12" s="29" t="s">
        <v>398</v>
      </c>
      <c r="K12" s="29" t="s">
        <v>399</v>
      </c>
      <c r="L12" s="29" t="s">
        <v>400</v>
      </c>
      <c r="M12" s="29">
        <f t="shared" si="1"/>
        <v>0.2</v>
      </c>
      <c r="N12" s="29" t="s">
        <v>358</v>
      </c>
      <c r="O12" s="31">
        <f t="shared" si="2"/>
        <v>0.77</v>
      </c>
      <c r="P12" s="29" t="s">
        <v>401</v>
      </c>
      <c r="Q12" s="31">
        <f t="shared" si="3"/>
        <v>0.85</v>
      </c>
      <c r="R12" s="29" t="s">
        <v>359</v>
      </c>
      <c r="S12" s="31">
        <f t="shared" si="4"/>
        <v>0.85</v>
      </c>
      <c r="T12" s="31">
        <f t="shared" si="5"/>
        <v>0.9145983</v>
      </c>
      <c r="U12" s="31" t="str">
        <f t="shared" si="6"/>
        <v>很低</v>
      </c>
      <c r="V12" s="29" t="s">
        <v>362</v>
      </c>
      <c r="W12" s="31" t="str">
        <f t="shared" si="7"/>
        <v>没有受伤</v>
      </c>
      <c r="X12" s="31">
        <f t="shared" si="8"/>
        <v>0</v>
      </c>
      <c r="Y12" s="29" t="s">
        <v>362</v>
      </c>
      <c r="Z12" s="32" t="str">
        <f t="shared" si="9"/>
        <v>财务损失不会产生任何影响，可忽略给后果或与利益相关者无关</v>
      </c>
      <c r="AA12" s="31">
        <f t="shared" si="10"/>
        <v>0</v>
      </c>
      <c r="AB12" s="29" t="s">
        <v>360</v>
      </c>
      <c r="AC12" s="32" t="str">
        <f t="shared" si="11"/>
        <v>操作损坏会导致车辆功能或性能的部分下降</v>
      </c>
      <c r="AD12" s="31">
        <f t="shared" si="12"/>
        <v>1</v>
      </c>
      <c r="AE12" s="29" t="s">
        <v>362</v>
      </c>
      <c r="AF12" s="32" t="str">
        <f t="shared" si="13"/>
        <v>隐私危害不会产生任何影响,也不会给道路使用者带来不便</v>
      </c>
      <c r="AG12" s="31">
        <f t="shared" si="14"/>
        <v>0</v>
      </c>
      <c r="AH12" s="31">
        <f t="shared" si="15"/>
        <v>1</v>
      </c>
      <c r="AI12" s="31" t="str">
        <f t="shared" si="16"/>
        <v>无影响</v>
      </c>
      <c r="AJ12" s="31" t="str">
        <f t="shared" si="17"/>
        <v>QM</v>
      </c>
      <c r="AK12" s="31" t="str">
        <f t="shared" si="18"/>
        <v>保留风险</v>
      </c>
      <c r="AL12" s="31" t="str">
        <f t="shared" si="19"/>
        <v>/</v>
      </c>
      <c r="AM12" s="31"/>
      <c r="AN12" s="31" t="str">
        <f t="shared" si="20"/>
        <v>M10
M11</v>
      </c>
    </row>
    <row r="13" ht="15.75" customHeight="1">
      <c r="A13" s="29" t="s">
        <v>402</v>
      </c>
      <c r="B13" s="29" t="s">
        <v>349</v>
      </c>
      <c r="C13" s="29" t="s">
        <v>350</v>
      </c>
      <c r="D13" s="29" t="s">
        <v>351</v>
      </c>
      <c r="E13" s="29" t="s">
        <v>403</v>
      </c>
      <c r="F13" s="29" t="s">
        <v>175</v>
      </c>
      <c r="G13" s="29" t="s">
        <v>389</v>
      </c>
      <c r="H13" s="29" t="s">
        <v>390</v>
      </c>
      <c r="I13" s="29" t="s">
        <v>404</v>
      </c>
      <c r="J13" s="29" t="s">
        <v>405</v>
      </c>
      <c r="K13" s="29" t="s">
        <v>393</v>
      </c>
      <c r="L13" s="29" t="s">
        <v>357</v>
      </c>
      <c r="M13" s="29">
        <f t="shared" si="1"/>
        <v>0.55</v>
      </c>
      <c r="N13" s="29" t="s">
        <v>358</v>
      </c>
      <c r="O13" s="31">
        <f t="shared" si="2"/>
        <v>0.77</v>
      </c>
      <c r="P13" s="29" t="s">
        <v>358</v>
      </c>
      <c r="Q13" s="31">
        <f t="shared" si="3"/>
        <v>0.62</v>
      </c>
      <c r="R13" s="29" t="s">
        <v>359</v>
      </c>
      <c r="S13" s="31">
        <f t="shared" si="4"/>
        <v>0.85</v>
      </c>
      <c r="T13" s="31">
        <f t="shared" si="5"/>
        <v>1.83457659</v>
      </c>
      <c r="U13" s="31" t="str">
        <f t="shared" si="6"/>
        <v>低</v>
      </c>
      <c r="V13" s="29" t="s">
        <v>360</v>
      </c>
      <c r="W13" s="31" t="str">
        <f t="shared" si="7"/>
        <v>轻度和中度伤害</v>
      </c>
      <c r="X13" s="31">
        <f t="shared" si="8"/>
        <v>10</v>
      </c>
      <c r="Y13" s="29" t="s">
        <v>360</v>
      </c>
      <c r="Z13" s="32" t="str">
        <f t="shared" si="9"/>
        <v>经济损失会带来不便的后果，受影响的利益相关者将能够用有限的资源来克服这些后果</v>
      </c>
      <c r="AA13" s="31" t="str">
        <f t="shared" si="10"/>
        <v>10</v>
      </c>
      <c r="AB13" s="29" t="s">
        <v>360</v>
      </c>
      <c r="AC13" s="32" t="str">
        <f t="shared" si="11"/>
        <v>操作损坏会导致车辆功能或性能的部分下降</v>
      </c>
      <c r="AD13" s="31">
        <f t="shared" si="12"/>
        <v>1</v>
      </c>
      <c r="AE13" s="29" t="s">
        <v>362</v>
      </c>
      <c r="AF13" s="32" t="str">
        <f t="shared" si="13"/>
        <v>隐私危害不会产生任何影响,也不会给道路使用者带来不便</v>
      </c>
      <c r="AG13" s="31">
        <f t="shared" si="14"/>
        <v>0</v>
      </c>
      <c r="AH13" s="31">
        <f t="shared" si="15"/>
        <v>21</v>
      </c>
      <c r="AI13" s="31" t="str">
        <f t="shared" si="16"/>
        <v>中等的</v>
      </c>
      <c r="AJ13" s="31" t="str">
        <f t="shared" si="17"/>
        <v>Medium</v>
      </c>
      <c r="AK13" s="31" t="str">
        <f t="shared" si="18"/>
        <v>降低风险</v>
      </c>
      <c r="AL13" s="31" t="str">
        <f t="shared" si="19"/>
        <v>应保护UART接口的"Elevation of Privilege
权限提升"</v>
      </c>
      <c r="AM13" s="31"/>
      <c r="AN13" s="31" t="str">
        <f t="shared" si="20"/>
        <v>M8
M9</v>
      </c>
    </row>
    <row r="14" ht="15.75" customHeight="1">
      <c r="A14" s="29" t="s">
        <v>406</v>
      </c>
      <c r="B14" s="29" t="s">
        <v>349</v>
      </c>
      <c r="C14" s="29" t="s">
        <v>350</v>
      </c>
      <c r="D14" s="29" t="s">
        <v>351</v>
      </c>
      <c r="E14" s="29" t="s">
        <v>407</v>
      </c>
      <c r="F14" s="29" t="s">
        <v>175</v>
      </c>
      <c r="G14" s="29" t="s">
        <v>408</v>
      </c>
      <c r="H14" s="29" t="s">
        <v>390</v>
      </c>
      <c r="I14" s="29" t="s">
        <v>409</v>
      </c>
      <c r="J14" s="29" t="s">
        <v>410</v>
      </c>
      <c r="K14" s="29" t="s">
        <v>393</v>
      </c>
      <c r="L14" s="29" t="s">
        <v>357</v>
      </c>
      <c r="M14" s="29">
        <f t="shared" si="1"/>
        <v>0.55</v>
      </c>
      <c r="N14" s="29" t="s">
        <v>358</v>
      </c>
      <c r="O14" s="31">
        <f t="shared" si="2"/>
        <v>0.77</v>
      </c>
      <c r="P14" s="29" t="s">
        <v>358</v>
      </c>
      <c r="Q14" s="31">
        <f t="shared" si="3"/>
        <v>0.62</v>
      </c>
      <c r="R14" s="29" t="s">
        <v>359</v>
      </c>
      <c r="S14" s="31">
        <f t="shared" si="4"/>
        <v>0.85</v>
      </c>
      <c r="T14" s="31">
        <f t="shared" si="5"/>
        <v>1.83457659</v>
      </c>
      <c r="U14" s="31" t="str">
        <f t="shared" si="6"/>
        <v>低</v>
      </c>
      <c r="V14" s="29" t="s">
        <v>411</v>
      </c>
      <c r="W14" s="31" t="str">
        <f t="shared" si="7"/>
        <v>威胁生命的伤害（尚不确定生存），致命伤害</v>
      </c>
      <c r="X14" s="31">
        <f t="shared" si="8"/>
        <v>1000</v>
      </c>
      <c r="Y14" s="29" t="s">
        <v>360</v>
      </c>
      <c r="Z14" s="32" t="str">
        <f t="shared" si="9"/>
        <v>经济损失会带来不便的后果，受影响的利益相关者将能够用有限的资源来克服这些后果</v>
      </c>
      <c r="AA14" s="31" t="str">
        <f t="shared" si="10"/>
        <v>10</v>
      </c>
      <c r="AB14" s="29" t="s">
        <v>360</v>
      </c>
      <c r="AC14" s="32" t="str">
        <f t="shared" si="11"/>
        <v>操作损坏会导致车辆功能或性能的部分下降</v>
      </c>
      <c r="AD14" s="31">
        <f t="shared" si="12"/>
        <v>1</v>
      </c>
      <c r="AE14" s="29" t="s">
        <v>362</v>
      </c>
      <c r="AF14" s="32" t="str">
        <f t="shared" si="13"/>
        <v>隐私危害不会产生任何影响,也不会给道路使用者带来不便</v>
      </c>
      <c r="AG14" s="31">
        <f t="shared" si="14"/>
        <v>0</v>
      </c>
      <c r="AH14" s="31">
        <f t="shared" si="15"/>
        <v>1011</v>
      </c>
      <c r="AI14" s="31" t="str">
        <f t="shared" si="16"/>
        <v>严重的</v>
      </c>
      <c r="AJ14" s="31" t="str">
        <f t="shared" si="17"/>
        <v>High</v>
      </c>
      <c r="AK14" s="31" t="str">
        <f t="shared" si="18"/>
        <v>降低风险</v>
      </c>
      <c r="AL14" s="31" t="str">
        <f t="shared" si="19"/>
        <v>应保护CAN/CANFD接口的"Elevation of Privilege
权限提升"</v>
      </c>
      <c r="AM14" s="31"/>
      <c r="AN14" s="31" t="str">
        <f t="shared" si="20"/>
        <v>M8
M9</v>
      </c>
    </row>
    <row r="15" ht="15.75" customHeight="1">
      <c r="A15" s="29" t="s">
        <v>412</v>
      </c>
      <c r="B15" s="29" t="s">
        <v>349</v>
      </c>
      <c r="C15" s="29" t="s">
        <v>413</v>
      </c>
      <c r="D15" s="29" t="s">
        <v>414</v>
      </c>
      <c r="E15" s="29" t="s">
        <v>153</v>
      </c>
      <c r="F15" s="29" t="s">
        <v>163</v>
      </c>
      <c r="G15" s="29" t="s">
        <v>352</v>
      </c>
      <c r="H15" s="29" t="s">
        <v>353</v>
      </c>
      <c r="I15" s="29" t="s">
        <v>415</v>
      </c>
      <c r="J15" s="29" t="s">
        <v>416</v>
      </c>
      <c r="K15" s="29" t="s">
        <v>417</v>
      </c>
      <c r="L15" s="29" t="s">
        <v>357</v>
      </c>
      <c r="M15" s="29">
        <f t="shared" si="1"/>
        <v>0.55</v>
      </c>
      <c r="N15" s="29" t="s">
        <v>358</v>
      </c>
      <c r="O15" s="31">
        <f t="shared" si="2"/>
        <v>0.77</v>
      </c>
      <c r="P15" s="29" t="s">
        <v>358</v>
      </c>
      <c r="Q15" s="31">
        <f t="shared" si="3"/>
        <v>0.62</v>
      </c>
      <c r="R15" s="29" t="s">
        <v>359</v>
      </c>
      <c r="S15" s="31">
        <f t="shared" si="4"/>
        <v>0.85</v>
      </c>
      <c r="T15" s="31">
        <f t="shared" si="5"/>
        <v>1.83457659</v>
      </c>
      <c r="U15" s="31" t="str">
        <f t="shared" si="6"/>
        <v>低</v>
      </c>
      <c r="V15" s="29" t="s">
        <v>360</v>
      </c>
      <c r="W15" s="31" t="str">
        <f t="shared" si="7"/>
        <v>轻度和中度伤害</v>
      </c>
      <c r="X15" s="31">
        <f t="shared" si="8"/>
        <v>10</v>
      </c>
      <c r="Y15" s="29" t="s">
        <v>360</v>
      </c>
      <c r="Z15" s="32" t="str">
        <f t="shared" si="9"/>
        <v>经济损失会带来不便的后果，受影响的利益相关者将能够用有限的资源来克服这些后果</v>
      </c>
      <c r="AA15" s="31" t="str">
        <f t="shared" si="10"/>
        <v>10</v>
      </c>
      <c r="AB15" s="29" t="s">
        <v>360</v>
      </c>
      <c r="AC15" s="32" t="str">
        <f t="shared" si="11"/>
        <v>操作损坏会导致车辆功能或性能的部分下降</v>
      </c>
      <c r="AD15" s="31">
        <f t="shared" si="12"/>
        <v>1</v>
      </c>
      <c r="AE15" s="29" t="s">
        <v>362</v>
      </c>
      <c r="AF15" s="32" t="str">
        <f t="shared" si="13"/>
        <v>隐私危害不会产生任何影响,也不会给道路使用者带来不便</v>
      </c>
      <c r="AG15" s="31">
        <f t="shared" si="14"/>
        <v>0</v>
      </c>
      <c r="AH15" s="31">
        <f t="shared" si="15"/>
        <v>21</v>
      </c>
      <c r="AI15" s="31" t="str">
        <f t="shared" si="16"/>
        <v>中等的</v>
      </c>
      <c r="AJ15" s="31" t="str">
        <f t="shared" si="17"/>
        <v>Medium</v>
      </c>
      <c r="AK15" s="31" t="str">
        <f t="shared" si="18"/>
        <v>降低风险</v>
      </c>
      <c r="AL15" s="31" t="str">
        <f t="shared" si="19"/>
        <v>应保护OTA升级包的"Authenticity
真实性"</v>
      </c>
      <c r="AM15" s="31"/>
      <c r="AN15" s="31" t="str">
        <f t="shared" si="20"/>
        <v>M10
M11</v>
      </c>
    </row>
    <row r="16" ht="15.75" customHeight="1">
      <c r="E16" s="29" t="s">
        <v>153</v>
      </c>
      <c r="F16" s="29" t="s">
        <v>163</v>
      </c>
      <c r="G16" s="29" t="s">
        <v>379</v>
      </c>
      <c r="H16" s="29" t="s">
        <v>380</v>
      </c>
      <c r="I16" s="29" t="s">
        <v>418</v>
      </c>
      <c r="J16" s="29" t="s">
        <v>419</v>
      </c>
      <c r="K16" s="29" t="s">
        <v>420</v>
      </c>
      <c r="L16" s="29" t="s">
        <v>357</v>
      </c>
      <c r="M16" s="29">
        <f t="shared" si="1"/>
        <v>0.55</v>
      </c>
      <c r="N16" s="29" t="s">
        <v>358</v>
      </c>
      <c r="O16" s="31">
        <f t="shared" si="2"/>
        <v>0.77</v>
      </c>
      <c r="P16" s="29" t="s">
        <v>358</v>
      </c>
      <c r="Q16" s="31">
        <f t="shared" si="3"/>
        <v>0.62</v>
      </c>
      <c r="R16" s="29" t="s">
        <v>359</v>
      </c>
      <c r="S16" s="31">
        <f t="shared" si="4"/>
        <v>0.85</v>
      </c>
      <c r="T16" s="31">
        <f t="shared" si="5"/>
        <v>1.83457659</v>
      </c>
      <c r="U16" s="31" t="str">
        <f t="shared" si="6"/>
        <v>低</v>
      </c>
      <c r="V16" s="29" t="s">
        <v>360</v>
      </c>
      <c r="W16" s="31" t="str">
        <f t="shared" si="7"/>
        <v>轻度和中度伤害</v>
      </c>
      <c r="X16" s="31">
        <f t="shared" si="8"/>
        <v>10</v>
      </c>
      <c r="Y16" s="29" t="s">
        <v>360</v>
      </c>
      <c r="Z16" s="32" t="str">
        <f t="shared" si="9"/>
        <v>经济损失会带来不便的后果，受影响的利益相关者将能够用有限的资源来克服这些后果</v>
      </c>
      <c r="AA16" s="31" t="str">
        <f t="shared" si="10"/>
        <v>10</v>
      </c>
      <c r="AB16" s="29" t="s">
        <v>361</v>
      </c>
      <c r="AC16" s="32" t="str">
        <f t="shared" si="11"/>
        <v>操作损坏导致车辆功能丧失</v>
      </c>
      <c r="AD16" s="31">
        <f t="shared" si="12"/>
        <v>10</v>
      </c>
      <c r="AE16" s="29" t="s">
        <v>362</v>
      </c>
      <c r="AF16" s="32" t="str">
        <f t="shared" si="13"/>
        <v>隐私危害不会产生任何影响,也不会给道路使用者带来不便</v>
      </c>
      <c r="AG16" s="31">
        <f t="shared" si="14"/>
        <v>0</v>
      </c>
      <c r="AH16" s="31">
        <f t="shared" si="15"/>
        <v>30</v>
      </c>
      <c r="AI16" s="31" t="str">
        <f t="shared" si="16"/>
        <v>中等的</v>
      </c>
      <c r="AJ16" s="31" t="str">
        <f t="shared" si="17"/>
        <v>Medium</v>
      </c>
      <c r="AK16" s="31" t="str">
        <f t="shared" si="18"/>
        <v>降低风险</v>
      </c>
      <c r="AL16" s="31" t="str">
        <f t="shared" si="19"/>
        <v>应保护OTA升级包的"Integrity
完整性"</v>
      </c>
      <c r="AM16" s="31"/>
      <c r="AN16" s="31" t="str">
        <f t="shared" si="20"/>
        <v>M10</v>
      </c>
    </row>
    <row r="17" ht="15.75" customHeight="1">
      <c r="E17" s="29" t="s">
        <v>153</v>
      </c>
      <c r="F17" s="29" t="s">
        <v>163</v>
      </c>
      <c r="G17" s="29" t="s">
        <v>421</v>
      </c>
      <c r="H17" s="29" t="s">
        <v>422</v>
      </c>
      <c r="I17" s="29" t="s">
        <v>423</v>
      </c>
      <c r="J17" s="29" t="s">
        <v>424</v>
      </c>
      <c r="K17" s="29" t="s">
        <v>425</v>
      </c>
      <c r="L17" s="29" t="s">
        <v>357</v>
      </c>
      <c r="M17" s="29">
        <f t="shared" si="1"/>
        <v>0.55</v>
      </c>
      <c r="N17" s="29" t="s">
        <v>358</v>
      </c>
      <c r="O17" s="31">
        <f t="shared" si="2"/>
        <v>0.77</v>
      </c>
      <c r="P17" s="29" t="s">
        <v>358</v>
      </c>
      <c r="Q17" s="31">
        <f t="shared" si="3"/>
        <v>0.62</v>
      </c>
      <c r="R17" s="29" t="s">
        <v>359</v>
      </c>
      <c r="S17" s="31">
        <f t="shared" si="4"/>
        <v>0.85</v>
      </c>
      <c r="T17" s="31">
        <f t="shared" si="5"/>
        <v>1.83457659</v>
      </c>
      <c r="U17" s="31" t="str">
        <f t="shared" si="6"/>
        <v>低</v>
      </c>
      <c r="V17" s="29" t="s">
        <v>362</v>
      </c>
      <c r="W17" s="31" t="str">
        <f t="shared" si="7"/>
        <v>没有受伤</v>
      </c>
      <c r="X17" s="31">
        <f t="shared" si="8"/>
        <v>0</v>
      </c>
      <c r="Y17" s="29" t="s">
        <v>361</v>
      </c>
      <c r="Z17" s="32" t="str">
        <f t="shared" si="9"/>
        <v>经济损失导致重大后果，受影响的利益相关者将能够克服</v>
      </c>
      <c r="AA17" s="31">
        <f t="shared" si="10"/>
        <v>100</v>
      </c>
      <c r="AB17" s="29" t="s">
        <v>362</v>
      </c>
      <c r="AC17" s="32" t="str">
        <f t="shared" si="11"/>
        <v>操作损坏不会导致车辆功能或性能下降，也不会导致性能下降</v>
      </c>
      <c r="AD17" s="31">
        <f t="shared" si="12"/>
        <v>0</v>
      </c>
      <c r="AE17" s="29" t="s">
        <v>361</v>
      </c>
      <c r="AF17" s="32" t="str">
        <f t="shared" si="13"/>
        <v>隐私危害会严重影响道路使用者</v>
      </c>
      <c r="AG17" s="31">
        <f t="shared" si="14"/>
        <v>10</v>
      </c>
      <c r="AH17" s="31">
        <f t="shared" si="15"/>
        <v>110</v>
      </c>
      <c r="AI17" s="31" t="str">
        <f t="shared" si="16"/>
        <v>重大的</v>
      </c>
      <c r="AJ17" s="31" t="str">
        <f t="shared" si="17"/>
        <v>Medium</v>
      </c>
      <c r="AK17" s="31" t="str">
        <f t="shared" si="18"/>
        <v>降低风险</v>
      </c>
      <c r="AL17" s="31" t="str">
        <f t="shared" si="19"/>
        <v>应保护OTA升级包的"Confidentiality
机密性"</v>
      </c>
      <c r="AM17" s="31"/>
      <c r="AN17" s="31" t="str">
        <f t="shared" si="20"/>
        <v>M12
M24</v>
      </c>
    </row>
    <row r="18" ht="15.75" customHeight="1">
      <c r="E18" s="29" t="s">
        <v>153</v>
      </c>
      <c r="F18" s="29" t="s">
        <v>163</v>
      </c>
      <c r="G18" s="29" t="s">
        <v>389</v>
      </c>
      <c r="H18" s="29" t="s">
        <v>390</v>
      </c>
      <c r="I18" s="29" t="s">
        <v>426</v>
      </c>
      <c r="J18" s="29" t="s">
        <v>427</v>
      </c>
      <c r="K18" s="29" t="s">
        <v>428</v>
      </c>
      <c r="L18" s="29" t="s">
        <v>357</v>
      </c>
      <c r="M18" s="29">
        <f t="shared" si="1"/>
        <v>0.55</v>
      </c>
      <c r="N18" s="29" t="s">
        <v>358</v>
      </c>
      <c r="O18" s="31">
        <f t="shared" si="2"/>
        <v>0.77</v>
      </c>
      <c r="P18" s="29" t="s">
        <v>358</v>
      </c>
      <c r="Q18" s="31">
        <f t="shared" si="3"/>
        <v>0.62</v>
      </c>
      <c r="R18" s="29" t="s">
        <v>359</v>
      </c>
      <c r="S18" s="31">
        <f t="shared" si="4"/>
        <v>0.85</v>
      </c>
      <c r="T18" s="31">
        <f t="shared" si="5"/>
        <v>1.83457659</v>
      </c>
      <c r="U18" s="31" t="str">
        <f t="shared" si="6"/>
        <v>低</v>
      </c>
      <c r="V18" s="29" t="s">
        <v>360</v>
      </c>
      <c r="W18" s="31" t="str">
        <f t="shared" si="7"/>
        <v>轻度和中度伤害</v>
      </c>
      <c r="X18" s="31">
        <f t="shared" si="8"/>
        <v>10</v>
      </c>
      <c r="Y18" s="29" t="s">
        <v>360</v>
      </c>
      <c r="Z18" s="32" t="str">
        <f t="shared" si="9"/>
        <v>经济损失会带来不便的后果，受影响的利益相关者将能够用有限的资源来克服这些后果</v>
      </c>
      <c r="AA18" s="31" t="str">
        <f t="shared" si="10"/>
        <v>10</v>
      </c>
      <c r="AB18" s="29" t="s">
        <v>361</v>
      </c>
      <c r="AC18" s="32" t="str">
        <f t="shared" si="11"/>
        <v>操作损坏导致车辆功能丧失</v>
      </c>
      <c r="AD18" s="31">
        <f t="shared" si="12"/>
        <v>10</v>
      </c>
      <c r="AE18" s="29" t="s">
        <v>362</v>
      </c>
      <c r="AF18" s="32" t="str">
        <f t="shared" si="13"/>
        <v>隐私危害不会产生任何影响,也不会给道路使用者带来不便</v>
      </c>
      <c r="AG18" s="31">
        <f t="shared" si="14"/>
        <v>0</v>
      </c>
      <c r="AH18" s="31">
        <f t="shared" si="15"/>
        <v>30</v>
      </c>
      <c r="AI18" s="31" t="str">
        <f t="shared" si="16"/>
        <v>中等的</v>
      </c>
      <c r="AJ18" s="31" t="str">
        <f t="shared" si="17"/>
        <v>Medium</v>
      </c>
      <c r="AK18" s="31" t="str">
        <f t="shared" si="18"/>
        <v>降低风险</v>
      </c>
      <c r="AL18" s="31" t="str">
        <f t="shared" si="19"/>
        <v>应保护OTA升级包的"Elevation of Privilege
权限提升"</v>
      </c>
      <c r="AM18" s="31"/>
      <c r="AN18" s="31" t="str">
        <f t="shared" si="20"/>
        <v>M8
M9</v>
      </c>
    </row>
    <row r="19" ht="15.75" customHeight="1">
      <c r="A19" s="29" t="s">
        <v>429</v>
      </c>
      <c r="B19" s="29" t="s">
        <v>349</v>
      </c>
      <c r="C19" s="29" t="s">
        <v>430</v>
      </c>
      <c r="D19" s="29" t="s">
        <v>431</v>
      </c>
      <c r="E19" s="29" t="s">
        <v>432</v>
      </c>
      <c r="F19" s="29" t="s">
        <v>147</v>
      </c>
      <c r="G19" s="29" t="s">
        <v>374</v>
      </c>
      <c r="H19" s="29" t="s">
        <v>353</v>
      </c>
      <c r="I19" s="29" t="s">
        <v>433</v>
      </c>
      <c r="J19" s="29" t="s">
        <v>434</v>
      </c>
      <c r="K19" s="29" t="s">
        <v>368</v>
      </c>
      <c r="L19" s="29" t="s">
        <v>435</v>
      </c>
      <c r="M19" s="29">
        <f t="shared" si="1"/>
        <v>0.62</v>
      </c>
      <c r="N19" s="29" t="s">
        <v>378</v>
      </c>
      <c r="O19" s="31">
        <f t="shared" si="2"/>
        <v>0.44</v>
      </c>
      <c r="P19" s="29" t="s">
        <v>358</v>
      </c>
      <c r="Q19" s="31">
        <f t="shared" si="3"/>
        <v>0.62</v>
      </c>
      <c r="R19" s="29" t="s">
        <v>384</v>
      </c>
      <c r="S19" s="31">
        <f t="shared" si="4"/>
        <v>0.62</v>
      </c>
      <c r="T19" s="31">
        <f t="shared" si="5"/>
        <v>0.8619847104</v>
      </c>
      <c r="U19" s="31" t="str">
        <f t="shared" si="6"/>
        <v>很低</v>
      </c>
      <c r="V19" s="29" t="s">
        <v>362</v>
      </c>
      <c r="W19" s="31" t="str">
        <f t="shared" si="7"/>
        <v>没有受伤</v>
      </c>
      <c r="X19" s="31">
        <f t="shared" si="8"/>
        <v>0</v>
      </c>
      <c r="Y19" s="29" t="s">
        <v>360</v>
      </c>
      <c r="Z19" s="32" t="str">
        <f t="shared" si="9"/>
        <v>经济损失会带来不便的后果，受影响的利益相关者将能够用有限的资源来克服这些后果</v>
      </c>
      <c r="AA19" s="31" t="str">
        <f t="shared" si="10"/>
        <v>10</v>
      </c>
      <c r="AB19" s="29" t="s">
        <v>360</v>
      </c>
      <c r="AC19" s="32" t="str">
        <f t="shared" si="11"/>
        <v>操作损坏会导致车辆功能或性能的部分下降</v>
      </c>
      <c r="AD19" s="31">
        <f t="shared" si="12"/>
        <v>1</v>
      </c>
      <c r="AE19" s="29" t="s">
        <v>362</v>
      </c>
      <c r="AF19" s="32" t="str">
        <f t="shared" si="13"/>
        <v>隐私危害不会产生任何影响,也不会给道路使用者带来不便</v>
      </c>
      <c r="AG19" s="31">
        <f t="shared" si="14"/>
        <v>0</v>
      </c>
      <c r="AH19" s="31">
        <f t="shared" si="15"/>
        <v>11</v>
      </c>
      <c r="AI19" s="31" t="str">
        <f t="shared" si="16"/>
        <v>微不足道</v>
      </c>
      <c r="AJ19" s="31" t="str">
        <f t="shared" si="17"/>
        <v>Low</v>
      </c>
      <c r="AK19" s="31" t="str">
        <f t="shared" si="18"/>
        <v>保留风险</v>
      </c>
      <c r="AL19" s="31" t="str">
        <f t="shared" si="19"/>
        <v>/</v>
      </c>
      <c r="AM19" s="31"/>
      <c r="AN19" s="31" t="str">
        <f t="shared" si="20"/>
        <v>M10
M11</v>
      </c>
    </row>
    <row r="20" ht="15.75" customHeight="1">
      <c r="E20" s="29" t="s">
        <v>432</v>
      </c>
      <c r="F20" s="29" t="s">
        <v>147</v>
      </c>
      <c r="G20" s="29" t="s">
        <v>436</v>
      </c>
      <c r="H20" s="29" t="s">
        <v>437</v>
      </c>
      <c r="I20" s="29" t="s">
        <v>438</v>
      </c>
      <c r="J20" s="29" t="s">
        <v>434</v>
      </c>
      <c r="K20" s="29" t="s">
        <v>377</v>
      </c>
      <c r="L20" s="29" t="s">
        <v>439</v>
      </c>
      <c r="M20" s="29">
        <f t="shared" si="1"/>
        <v>0.85</v>
      </c>
      <c r="N20" s="29" t="s">
        <v>358</v>
      </c>
      <c r="O20" s="31">
        <f t="shared" si="2"/>
        <v>0.77</v>
      </c>
      <c r="P20" s="29" t="s">
        <v>358</v>
      </c>
      <c r="Q20" s="31">
        <f t="shared" si="3"/>
        <v>0.62</v>
      </c>
      <c r="R20" s="29" t="s">
        <v>359</v>
      </c>
      <c r="S20" s="31">
        <f t="shared" si="4"/>
        <v>0.85</v>
      </c>
      <c r="T20" s="31">
        <f t="shared" si="5"/>
        <v>2.83525473</v>
      </c>
      <c r="U20" s="31" t="str">
        <f t="shared" si="6"/>
        <v>中</v>
      </c>
      <c r="V20" s="29" t="s">
        <v>362</v>
      </c>
      <c r="W20" s="31" t="str">
        <f t="shared" si="7"/>
        <v>没有受伤</v>
      </c>
      <c r="X20" s="31">
        <f t="shared" si="8"/>
        <v>0</v>
      </c>
      <c r="Y20" s="29" t="s">
        <v>360</v>
      </c>
      <c r="Z20" s="32" t="str">
        <f t="shared" si="9"/>
        <v>经济损失会带来不便的后果，受影响的利益相关者将能够用有限的资源来克服这些后果</v>
      </c>
      <c r="AA20" s="31" t="str">
        <f t="shared" si="10"/>
        <v>10</v>
      </c>
      <c r="AB20" s="29" t="s">
        <v>361</v>
      </c>
      <c r="AC20" s="32" t="str">
        <f t="shared" si="11"/>
        <v>操作损坏导致车辆功能丧失</v>
      </c>
      <c r="AD20" s="31">
        <f t="shared" si="12"/>
        <v>10</v>
      </c>
      <c r="AE20" s="29" t="s">
        <v>360</v>
      </c>
      <c r="AF20" s="32" t="str">
        <f t="shared" si="13"/>
        <v>隐私危害给道路使用者带来极大的不便</v>
      </c>
      <c r="AG20" s="31">
        <f t="shared" si="14"/>
        <v>1</v>
      </c>
      <c r="AH20" s="31">
        <f t="shared" si="15"/>
        <v>21</v>
      </c>
      <c r="AI20" s="31" t="str">
        <f t="shared" si="16"/>
        <v>中等的</v>
      </c>
      <c r="AJ20" s="31" t="str">
        <f t="shared" si="17"/>
        <v>Medium</v>
      </c>
      <c r="AK20" s="31" t="str">
        <f t="shared" si="18"/>
        <v>降低风险</v>
      </c>
      <c r="AL20" s="31" t="str">
        <f t="shared" si="19"/>
        <v>应保护BT模块控制指令的"Non-Repudiation
不可抵赖性"</v>
      </c>
      <c r="AM20" s="31"/>
      <c r="AN20" s="31" t="str">
        <f t="shared" si="20"/>
        <v>M9
M10</v>
      </c>
    </row>
    <row r="21" ht="15.75" customHeight="1">
      <c r="E21" s="29" t="s">
        <v>432</v>
      </c>
      <c r="F21" s="29" t="s">
        <v>147</v>
      </c>
      <c r="G21" s="29" t="s">
        <v>379</v>
      </c>
      <c r="H21" s="29" t="s">
        <v>380</v>
      </c>
      <c r="I21" s="29" t="s">
        <v>440</v>
      </c>
      <c r="J21" s="29" t="s">
        <v>434</v>
      </c>
      <c r="K21" s="29" t="s">
        <v>441</v>
      </c>
      <c r="L21" s="29" t="s">
        <v>435</v>
      </c>
      <c r="M21" s="29">
        <f t="shared" si="1"/>
        <v>0.62</v>
      </c>
      <c r="N21" s="29" t="s">
        <v>378</v>
      </c>
      <c r="O21" s="31">
        <f t="shared" si="2"/>
        <v>0.44</v>
      </c>
      <c r="P21" s="29" t="s">
        <v>358</v>
      </c>
      <c r="Q21" s="31">
        <f t="shared" si="3"/>
        <v>0.62</v>
      </c>
      <c r="R21" s="29" t="s">
        <v>359</v>
      </c>
      <c r="S21" s="31">
        <f t="shared" si="4"/>
        <v>0.85</v>
      </c>
      <c r="T21" s="31">
        <f t="shared" si="5"/>
        <v>1.181753232</v>
      </c>
      <c r="U21" s="31" t="str">
        <f t="shared" si="6"/>
        <v>低</v>
      </c>
      <c r="V21" s="29" t="s">
        <v>360</v>
      </c>
      <c r="W21" s="31" t="str">
        <f t="shared" si="7"/>
        <v>轻度和中度伤害</v>
      </c>
      <c r="X21" s="31">
        <f t="shared" si="8"/>
        <v>10</v>
      </c>
      <c r="Y21" s="29" t="s">
        <v>360</v>
      </c>
      <c r="Z21" s="32" t="str">
        <f t="shared" si="9"/>
        <v>经济损失会带来不便的后果，受影响的利益相关者将能够用有限的资源来克服这些后果</v>
      </c>
      <c r="AA21" s="31" t="str">
        <f t="shared" si="10"/>
        <v>10</v>
      </c>
      <c r="AB21" s="29" t="s">
        <v>361</v>
      </c>
      <c r="AC21" s="32" t="str">
        <f t="shared" si="11"/>
        <v>操作损坏导致车辆功能丧失</v>
      </c>
      <c r="AD21" s="31">
        <f t="shared" si="12"/>
        <v>10</v>
      </c>
      <c r="AE21" s="29" t="s">
        <v>362</v>
      </c>
      <c r="AF21" s="32" t="str">
        <f t="shared" si="13"/>
        <v>隐私危害不会产生任何影响,也不会给道路使用者带来不便</v>
      </c>
      <c r="AG21" s="31">
        <f t="shared" si="14"/>
        <v>0</v>
      </c>
      <c r="AH21" s="31">
        <f t="shared" si="15"/>
        <v>30</v>
      </c>
      <c r="AI21" s="31" t="str">
        <f t="shared" si="16"/>
        <v>中等的</v>
      </c>
      <c r="AJ21" s="31" t="str">
        <f t="shared" si="17"/>
        <v>Medium</v>
      </c>
      <c r="AK21" s="31" t="str">
        <f t="shared" si="18"/>
        <v>降低风险</v>
      </c>
      <c r="AL21" s="31" t="str">
        <f t="shared" si="19"/>
        <v>应保护BT模块控制指令的"Integrity
完整性"</v>
      </c>
      <c r="AM21" s="31"/>
      <c r="AN21" s="31" t="str">
        <f t="shared" si="20"/>
        <v>M10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sheetData>
  <mergeCells count="45">
    <mergeCell ref="AB4:AD4"/>
    <mergeCell ref="G3:K3"/>
    <mergeCell ref="L3:U3"/>
    <mergeCell ref="V3:AI3"/>
    <mergeCell ref="P4:Q4"/>
    <mergeCell ref="AL3:AN3"/>
    <mergeCell ref="A3:F3"/>
    <mergeCell ref="A1:AN1"/>
    <mergeCell ref="A4:A5"/>
    <mergeCell ref="A6:A7"/>
    <mergeCell ref="B6:B7"/>
    <mergeCell ref="F6:F7"/>
    <mergeCell ref="C4:E4"/>
    <mergeCell ref="C6:C7"/>
    <mergeCell ref="D6:D7"/>
    <mergeCell ref="A15:A18"/>
    <mergeCell ref="A19:A21"/>
    <mergeCell ref="B19:B21"/>
    <mergeCell ref="C19:C21"/>
    <mergeCell ref="D19:D21"/>
    <mergeCell ref="A8:A10"/>
    <mergeCell ref="B8:B10"/>
    <mergeCell ref="C8:C10"/>
    <mergeCell ref="D8:D10"/>
    <mergeCell ref="B15:B18"/>
    <mergeCell ref="C15:C18"/>
    <mergeCell ref="D15:D18"/>
    <mergeCell ref="B4:B5"/>
    <mergeCell ref="F4:F5"/>
    <mergeCell ref="G4:G5"/>
    <mergeCell ref="H4:H5"/>
    <mergeCell ref="I4:I5"/>
    <mergeCell ref="J4:J5"/>
    <mergeCell ref="N4:O4"/>
    <mergeCell ref="L4:M4"/>
    <mergeCell ref="Y4:AA4"/>
    <mergeCell ref="V4:X4"/>
    <mergeCell ref="T4:U4"/>
    <mergeCell ref="R4:S4"/>
    <mergeCell ref="AM4:AM5"/>
    <mergeCell ref="AL4:AL5"/>
    <mergeCell ref="AK4:AK5"/>
    <mergeCell ref="AJ4:AJ5"/>
    <mergeCell ref="AH4:AI4"/>
    <mergeCell ref="AE4:AG4"/>
  </mergeCells>
  <printOptions/>
  <pageMargins bottom="1.0" footer="0.0" header="0.0" left="0.75" right="0.75" top="1.0"/>
  <pageSetup orientation="landscape"/>
  <drawing r:id="rId1"/>
</worksheet>
</file>