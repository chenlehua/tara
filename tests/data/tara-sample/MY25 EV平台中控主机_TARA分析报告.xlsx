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封面 Front Cover" sheetId="1" r:id="rId4"/>
    <sheet state="visible" name="1-相关定义" sheetId="2" r:id="rId5"/>
    <sheet state="visible" name="2-资产列表" sheetId="3" r:id="rId6"/>
    <sheet state="visible" name="3-数据流图" sheetId="4" r:id="rId7"/>
    <sheet state="visible" name="4-攻击树图" sheetId="5" r:id="rId8"/>
    <sheet state="visible" name="5-TARA分析结果" sheetId="6" r:id="rId9"/>
  </sheets>
  <definedNames/>
  <calcPr/>
</workbook>
</file>

<file path=xl/sharedStrings.xml><?xml version="1.0" encoding="utf-8"?>
<sst xmlns="http://schemas.openxmlformats.org/spreadsheetml/2006/main" count="618" uniqueCount="355">
  <si>
    <t>数据等级：秘密
Data level: Confidential</t>
  </si>
  <si>
    <t>编号：IPC0011_JF_A30-44003
Number: IPC0011_JF_A30-44003</t>
  </si>
  <si>
    <t>版本：
Version：</t>
  </si>
  <si>
    <t>威胁分析和风险评估报告
Threat Analysis And Risk Assessment Report</t>
  </si>
  <si>
    <t>——DiLink150中控主机平台</t>
  </si>
  <si>
    <t>编制/日期：
Author/Date</t>
  </si>
  <si>
    <t>审核/日期：
Review/Date</t>
  </si>
  <si>
    <t>会签/日期：
Signature/Date</t>
  </si>
  <si>
    <t>批准/日期：
Approve/Date</t>
  </si>
  <si>
    <t>MY25 EV平台中控主机 TARA分析报告 - 相关定义</t>
  </si>
  <si>
    <t>1. 功能描述 Functional Description</t>
  </si>
  <si>
    <t>车载信息娱乐系统(In-Vehicle Infotainment, IVI)是一种集成多媒体娱乐、导航、车辆信息显示、通信和车辆控制功能于一体的车载电子系统。
主要功能包括：
• 多媒体播放：音乐、视频、广播等媒体内容播放
• 导航系统：GPS定位、地图显示、路径规划、实时交通
• 车辆信息显示：车速、油量/电量、胎压、里程、故障提示等
• 无线连接：蓝牙(BT)手机互联、WiFi热点、4G/5G网络
• 语音交互：语音识别控制各项功能
• 车控功能：空调控制、座椅调节、车窗控制、氛围灯等
• OTA升级：远程软件/固件更新
• 远程服务：与TBox通信实现远程控制、远程诊断、车辆定位</t>
  </si>
  <si>
    <t>2. 项目边界 Item Boundary</t>
  </si>
  <si>
    <t xml:space="preserve">
┌─────────────────────────────────────────────────────────────────────────────────────┐
│                           车载信息娱乐系统 项目边界示意图                             │
│  ┌─────────────────────────────────────────────────────────────────────────────┐    │
│  │                         IVI 系统边界 (Scope Boundary)                        │    │
│  │  ┌──────────────────────────────────────────────────────────────────────┐   │    │
│  │  │                    硬件层 Hardware Layer                              │   │    │
│  │  │  ┌─────────┐ ┌─────────┐ ┌─────────┐ ┌─────────┐ ┌─────────┐        │   │    │
│  │  │  │   SOC   │ │   MCU   │ │ DDR RAM │ │ UFS ROM │ │  eMMC   │        │   │    │
│  │  │  └─────────┘ └─────────┘ └─────────┘ └─────────┘ └─────────┘        │   │    │
│  │  │  ┌─────────┐ ┌─────────┐ ┌─────────┐ ┌─────────┐                    │   │    │
│  │  │  │ BT模块  │ │ WIFI模块│ │以太网接口│ │ CAN接口 │                    │   │    │
│  │  │  └─────────┘ └─────────┘ └─────────┘ └─────────┘                    │   │    │
│  │  └──────────────────────────────────────────────────────────────────────┘   │    │
│  │                                 ↕ 内部通信                                   │    │
│  │  ┌──────────────────────────────────────────────────────────────────────┐   │    │
│  │  │                    软件层 Software Layer                              │   │    │
│  │  │  系统固件 │ 操作系统 │ 中间件 │ 应用软件 │ 安全服务 │ 配置数据        │   │    │
│  │  └──────────────────────────────────────────────────────────────────────┘   │    │
│  └─────────────────────────────────────────────────────────────────────────────┘    │
│                              ↕ 外部接口 External Interface                          │
│  ┌────────────────────────────┐  ┌────────────────────────────────────────────┐    │
│  │   外部接口 (项目边界)       │  │        外部系统 (项目范围外)                │    │
│  │  • TBox接口 (以太网/CAN)   │  │  • 云服务平台 (OTA服务器、TSP)             │    │
│  │  • OBD接口 (诊断)          │  │  • 用户手机 (蓝牙/WiFi连接)                │    │
│  │  • USB接口                 │  │  • 诊断设备                                │    │
│  │  • CAN总线接口             │  │  • 车身域控制器/网关                        │    │
│  └────────────────────────────┘  └────────────────────────────────────────────┘    │
└─────────────────────────────────────────────────────────────────────────────────────┘
</t>
  </si>
  <si>
    <t>3. 系统架构图 System Architecture</t>
  </si>
  <si>
    <t xml:space="preserve">
┌─────────────────────────────────────────────────────────────────────────────────────┐
│                           IVI 系统架构图 System Architecture                         │
│                                                                                      │
│  ┌────────────────────────────────────────────────────────────────────────────────┐ │
│  │                           应用层 Application Layer                              │ │
│  │  ┌──────────┐ ┌──────────┐ ┌──────────┐ ┌──────────┐ ┌──────────┐ ┌──────────┐│ │
│  │  │ 导航APP  │ │ 多媒体APP │ │ 蓝牙APP  │ │ 车控APP  │ │ 设置APP  │ │ OTA APP  ││ │
│  │  └──────────┘ └──────────┘ └──────────┘ └──────────┘ └──────────┘ └──────────┘│ │
│  └────────────────────────────────────────────────────────────────────────────────┘ │
│                                        ↓                                            │
│  ┌────────────────────────────────────────────────────────────────────────────────┐ │
│  │                           中间件层 Middleware Layer                             │ │
│  │  ┌──────────┐ ┌──────────┐ ┌──────────┐ ┌──────────┐ ┌──────────┐ ┌──────────┐│ │
│  │  │ 音频管理 │ │ 显示管理 │ │ 网络管理 │ │ 安全服务 │ │ 诊断服务 │ │ OTA服务  ││ │
│  │  └──────────┘ └──────────┘ └──────────┘ └──────────┘ └──────────┘ └──────────┘│ │
│  └────────────────────────────────────────────────────────────────────────────────┘ │
│                                        ↓                                            │
│  ┌────────────────────────────────────────────────────────────────────────────────┐ │
│  │                           操作系统层 OS Layer                                   │ │
│  │                    Android Automotive OS / QNX / Linux                          │ │
│  └────────────────────────────────────────────────────────────────────────────────┘ │
│                                        ↓                                            │
│  ┌────────────────────────────────────────────────────────────────────────────────┐ │
│  │                           硬件抽象层 HAL Layer                                  │ │
│  │       Audio HAL │ Display HAL │ Camera HAL │ Vehicle HAL │ Sensors HAL         │ │
│  └────────────────────────────────────────────────────────────────────────────────┘ │
│                                        ↓                                            │
│  ┌────────────────────────────────────────────────────────────────────────────────┐ │
│  │                           硬件层 Hardware Layer                                 │ │
│  │  SOC │ MCU │ DDR │ UFS │ BT │ WIFI │ Ethernet │ CAN │ USB │ Display │ Audio    │ │
│  └────────────────────────────────────────────────────────────────────────────────┘ │
└─────────────────────────────────────────────────────────────────────────────────────┘
</t>
  </si>
  <si>
    <t>4. 软件架构图 Software Architecture</t>
  </si>
  <si>
    <t xml:space="preserve">
┌─────────────────────────────────────────────────────────────────────────────────────┐
│                           IVI 软件架构图 Software Architecture                       │
│                                                                                      │
│  ┌────────────────────────────────────────────────────────────────────────────────┐ │
│  │  安全域 Secure World (ARM TrustZone)  │  普通域 Normal World                   │ │
│  │  ┌────────────────────────────────┐   │  ┌────────────────────────────────┐   │ │
│  │  │      TEE OS (OP-TEE)           │   │  │      Rich OS (Android/Linux)   │   │ │
│  │  │  ┌──────────────────────────┐  │   │  │  ┌──────────────────────────┐  │   │ │
│  │  │  │  Trusted Applications    │  │   │  │  │   User Applications      │  │   │ │
│  │  │  │  • Secure Boot           │  │   │  │  │  • 导航 Navigation       │  │   │ │
│  │  │  │  • Key Management        │  │   │  │  │  • 多媒体 Multimedia     │  │   │ │
│  │  │  │  • Crypto Services       │  │   │  │  │  • 蓝牙 Bluetooth        │  │   │ │
│  │  │  │  • Secure Storage        │  │   │  │  │  • 车控 Vehicle Control  │  │   │ │
│  │  │  │  • DRM Services          │  │   │  │  │  • OTA Update            │  │   │ │
│  │  │  └──────────────────────────┘  │   │  │  └──────────────────────────┘  │   │ │
│  │  │              ↑                 │   │  │              ↑                 │   │ │
│  │  │  ┌──────────────────────────┐  │   │  │  ┌──────────────────────────┐  │   │ │
│  │  │  │  TEE Internal API        │  │   │  │  │  System Services         │  │   │ │
│  │  │  │  (GlobalPlatform)        │  │   │  │  │  • Communication Mgr     │  │   │ │
│  │  │  └──────────────────────────┘  │   │  │  │  • Diagnostic Service    │  │   │ │
│  │  └────────────────────────────────┘   │  │  │  • Security Service      │  │   │ │
│  │              ↑                        │  │  └──────────────────────────┘  │   │ │
│  │  ┌────────────────────────────────┐   │  │              ↑                 │   │ │
│  │  │       HSM (Hardware)           │   │  │  ┌──────────────────────────┐  │   │ │
│  │  │  • Secure Key Storage          │   │  │  │  Drivers Layer           │  │   │ │
│  │  │  • Crypto Acceleration         │   │  │  │  CAN│ETH│USB│BT│WIFI│...│  │   │ │
│  │  └────────────────────────────────┘   │  │  └──────────────────────────┘  │   │ │
│  └───────────────────────────────────────┴──┴────────────────────────────────────┘ │
└─────────────────────────────────────────────────────────────────────────────────────┘
</t>
  </si>
  <si>
    <t>5. 相关项假设 Item Assumptions</t>
  </si>
  <si>
    <t>假设编号
Assumption ID</t>
  </si>
  <si>
    <t>假设描述 Assumption Description</t>
  </si>
  <si>
    <t>ASM-01</t>
  </si>
  <si>
    <t>IVI系统运行在独立的电子控制单元上，与车辆安全关键系统(如制动、转向)物理隔离</t>
  </si>
  <si>
    <t>ASM-02</t>
  </si>
  <si>
    <t>IVI系统与车身域控制器通过CAN网关进行通信，网关具备消息过滤和访问控制功能</t>
  </si>
  <si>
    <t>ASM-03</t>
  </si>
  <si>
    <t>TBox与IVI之间的通信链路为车内以太网(100BASE-T1)或CAN总线</t>
  </si>
  <si>
    <t>ASM-04</t>
  </si>
  <si>
    <t>普通用户不具备拆解IVI硬件的专业工具和能力，物理攻击需要专业设备</t>
  </si>
  <si>
    <t>ASM-05</t>
  </si>
  <si>
    <t>IVI系统具备安全启动(Secure Boot)功能，启动链完整性受硬件信任根保护</t>
  </si>
  <si>
    <t>ASM-06</t>
  </si>
  <si>
    <t>系统固件和应用软件由OEM统一管理和分发，具备代码签名机制</t>
  </si>
  <si>
    <t>ASM-07</t>
  </si>
  <si>
    <t>车辆使用期间，云服务器(TSP)持续在线提供OTA、远程诊断等服务</t>
  </si>
  <si>
    <t>ASM-08</t>
  </si>
  <si>
    <t>用户移动设备的安全性不在本分析范围内，假设手机可能被恶意软件感染</t>
  </si>
  <si>
    <t>ASM-09</t>
  </si>
  <si>
    <t>车辆网络(CAN/Ethernet)与外部网络之间存在网关隔离</t>
  </si>
  <si>
    <t>ASM-10</t>
  </si>
  <si>
    <t>诊断接口(OBD)在车辆正常使用时可被物理访问</t>
  </si>
  <si>
    <t>6. 术语表 Terminology</t>
  </si>
  <si>
    <t>缩写
Abbreviation</t>
  </si>
  <si>
    <t>英文全称 English Full Name</t>
  </si>
  <si>
    <t>中文全称 Chinese Name</t>
  </si>
  <si>
    <t>IVI</t>
  </si>
  <si>
    <t>In-Vehicle Infotainment</t>
  </si>
  <si>
    <t>车载信息娱乐系统</t>
  </si>
  <si>
    <t>TARA</t>
  </si>
  <si>
    <t>Threat Analysis and Risk Assessment</t>
  </si>
  <si>
    <t>威胁分析与风险评估</t>
  </si>
  <si>
    <t>SOC</t>
  </si>
  <si>
    <t>System on Chip</t>
  </si>
  <si>
    <t>片上系统</t>
  </si>
  <si>
    <t>MCU</t>
  </si>
  <si>
    <t>Microcontroller Unit</t>
  </si>
  <si>
    <t>微控制器单元</t>
  </si>
  <si>
    <t>DDR RAM</t>
  </si>
  <si>
    <t>Double Data Rate Random Access Memory</t>
  </si>
  <si>
    <t>双倍数据率随机存取存储器</t>
  </si>
  <si>
    <t>UFS ROM</t>
  </si>
  <si>
    <t>Universal Flash Storage</t>
  </si>
  <si>
    <t>通用闪存存储</t>
  </si>
  <si>
    <t>BT</t>
  </si>
  <si>
    <t>Bluetooth</t>
  </si>
  <si>
    <t>蓝牙</t>
  </si>
  <si>
    <t>WIFI</t>
  </si>
  <si>
    <t>Wireless Fidelity</t>
  </si>
  <si>
    <t>无线保真/无线网络</t>
  </si>
  <si>
    <t>TBox</t>
  </si>
  <si>
    <t>Telematics Box</t>
  </si>
  <si>
    <t>车载终端/远程信息处理器</t>
  </si>
  <si>
    <t>OBD</t>
  </si>
  <si>
    <t>On-Board Diagnostics</t>
  </si>
  <si>
    <t>车载诊断系统</t>
  </si>
  <si>
    <t>CAN</t>
  </si>
  <si>
    <t>Controller Area Network</t>
  </si>
  <si>
    <t>控制器局域网</t>
  </si>
  <si>
    <t>OTA</t>
  </si>
  <si>
    <t>Over-The-Air</t>
  </si>
  <si>
    <t>空中下载/远程升级</t>
  </si>
  <si>
    <t>TEE</t>
  </si>
  <si>
    <t>Trusted Execution Environment</t>
  </si>
  <si>
    <t>可信执行环境</t>
  </si>
  <si>
    <t>HSM</t>
  </si>
  <si>
    <t>Hardware Security Module</t>
  </si>
  <si>
    <t>硬件安全模块</t>
  </si>
  <si>
    <t>PKI</t>
  </si>
  <si>
    <t>Public Key Infrastructure</t>
  </si>
  <si>
    <t>公钥基础设施</t>
  </si>
  <si>
    <t>STRIDE</t>
  </si>
  <si>
    <t>Spoofing,Tampering,Repudiation,Information Disclosure,DoS,EoP</t>
  </si>
  <si>
    <t>欺骗、篡改、抵赖、信息泄露、拒绝服务、权限提升</t>
  </si>
  <si>
    <t>WP29</t>
  </si>
  <si>
    <t>World Forum for Harmonization of Vehicle Regulations</t>
  </si>
  <si>
    <t>世界车辆法规协调论坛</t>
  </si>
  <si>
    <t>SecOC</t>
  </si>
  <si>
    <t>Secure Onboard Communication</t>
  </si>
  <si>
    <t>安全车载通信</t>
  </si>
  <si>
    <t>UDS</t>
  </si>
  <si>
    <t>Unified Diagnostic Services</t>
  </si>
  <si>
    <t>统一诊断服务</t>
  </si>
  <si>
    <t>DoIP</t>
  </si>
  <si>
    <t>Diagnostics over IP</t>
  </si>
  <si>
    <t>基于IP的诊断</t>
  </si>
  <si>
    <t>MY25 EV平台中控主机- 资产列表 Asset List</t>
  </si>
  <si>
    <t>Asset Identification 资产识别</t>
  </si>
  <si>
    <t>Cybersecurity Attributes 网络安全属性</t>
  </si>
  <si>
    <t>资产ID
Asset ID</t>
  </si>
  <si>
    <t>资产名称
Asset Name</t>
  </si>
  <si>
    <t>分类
Category</t>
  </si>
  <si>
    <t>备注
Remarks</t>
  </si>
  <si>
    <t>真实性
Authenticity</t>
  </si>
  <si>
    <t>完整性
Integrity</t>
  </si>
  <si>
    <t>不可抵赖性
Non-repudiation</t>
  </si>
  <si>
    <t>机密性
Confidentiality</t>
  </si>
  <si>
    <t>可用性
Availability</t>
  </si>
  <si>
    <t>权限
Authorization</t>
  </si>
  <si>
    <t>P001</t>
  </si>
  <si>
    <t>内部实体</t>
  </si>
  <si>
    <t>主处理器芯片，运行Android Automotive OS</t>
  </si>
  <si>
    <t>√</t>
  </si>
  <si>
    <t>P011</t>
  </si>
  <si>
    <t>媒体源</t>
  </si>
  <si>
    <t>固件及应用</t>
  </si>
  <si>
    <t>对媒体源的分析包括其本身的代码和相关的应用服务，负责接收视频及人脸信息，发送至存储单元</t>
  </si>
  <si>
    <t>E014</t>
  </si>
  <si>
    <t>外部实体</t>
  </si>
  <si>
    <t>与DiLink主机连接的外部设备</t>
  </si>
  <si>
    <t>E009</t>
  </si>
  <si>
    <t>外置功放</t>
  </si>
  <si>
    <t>E004</t>
  </si>
  <si>
    <t>以太网接口</t>
  </si>
  <si>
    <t>用于以太网通讯、调试、数据传输的接口</t>
  </si>
  <si>
    <t>E005</t>
  </si>
  <si>
    <t>UART接口</t>
  </si>
  <si>
    <t>用于调试、通讯的接口</t>
  </si>
  <si>
    <t>S005</t>
  </si>
  <si>
    <t>OTA升级包</t>
  </si>
  <si>
    <t>数据存储</t>
  </si>
  <si>
    <t>存储在DDR中</t>
  </si>
  <si>
    <t>D006</t>
  </si>
  <si>
    <t>音频信息</t>
  </si>
  <si>
    <t>数据流</t>
  </si>
  <si>
    <t>MCU&lt;---&gt;音频输入输出模块</t>
  </si>
  <si>
    <t>A-009</t>
  </si>
  <si>
    <t>系统固件</t>
  </si>
  <si>
    <t>Bootloader、TF-A、TEE OS等</t>
  </si>
  <si>
    <t>MY25 EV平台中控主机- 数据流图 Data Flow Diagram</t>
  </si>
  <si>
    <t xml:space="preserve">
┌──────────────────────────────────────────────────────────────────────────────────────────────────────────────┐
│                                    IVI系统数据流图 Data Flow Diagram (Level 0)                                │
│                                                                                                               │
│     ┌─────────────┐                                                              ┌─────────────┐             │
│     │ 云服务器    │                                                              │  车身控制器  │             │
│     │ Cloud Server│                                                              │  BCM/Gateway│             │
│     │    (E1)     │                                                              │    (E6)     │             │
│     └──────┬──────┘                                                              └──────┬──────┘             │
│            │                                                                            │                     │
│            │ DF1: OTA升级包                                                             │ DF9: CAN车控指令     │
│            │ DF2: 远程配置                                                              │ DF10: 车辆状态      │
│            ↓                                                                            ↑                     │
│     ┌─────────────┐         DF3: 远程指令          ╔════════════════════════════════════════════════╗        │
│     │   TBox      │ ─────────────────────────────→ ║                                                ║        │
│     │ Telematics  │ ←───────────────────────────── ║           IVI 主系统                           ║        │
│     │    (E2)     │         DF4: 状态上报          ║         IVI Main System                        ║        │
│     └─────────────┘                                ║                                                ║        │
│                                                    ║  ┌────────────────────────────────────────┐    ║        │
│     ┌─────────────┐         DF5: 蓝牙音频/电话     ║  │         P1: SOC 主处理器                │    ║        │
│     │  用户手机   │ ─────────────────────────────→ ║  │         Main Processor                 │    ║        │
│     │ User Phone  │ ←───────────────────────────── ║  │  ┌────────┐  ┌────────┐  ┌────────┐   │    ║        │
│     │    (E3)     │         DF6: 联系人/通知       ║  │  │ D1:配置│  │ D2:密钥│  │D3:用户 │   │    ║ ──────→│
│     └─────────────┘                                ║  │  │  数据  │  │  存储  │  │  数据  │   │    ║        │
│                                                    ║  │  └────────┘  └────────┘  └────────┘   │    ║        │
│     ┌─────────────┐         DF7: 诊断请求          ║  │                    ↕                   │    ║        │
│     │  诊断设备   │ ─────────────────────────────→ ║  │         ┌────────────────────┐        │    ║        │
│     │ Diagnostic  │ ←───────────────────────────── ║  │         │   P2: MCU 安全控制  │        │    ║        │
│     │ Tool (E4)   │         DF8: 诊断响应          ║  │         │   Safety Controller │        │    ║        │
│     └─────────────┘                                ║  │         └────────────────────┘        │    ║        │
│                                                    ║  └────────────────────────────────────────┘    ║        │
│     ┌─────────────┐         DF11: 媒体文件         ║                                                ║        │
│     │  USB设备    │ ─────────────────────────────→ ║                                                ║        │
│     │ USB Device  │                                ╚════════════════════════════════════════════════╝        │
│     │    (E5)     │                                                                                           │
│     └─────────────┘                                                                                           │
│                                                                                                               │
│  图例 Legend:  ═══ 信任边界 Trust Boundary    ───→ 数据流 Data Flow    [ ] 处理 Process    (Dx) 数据存储      │
└──────────────────────────────────────────────────────────────────────────────────────────────────────────────┘
</t>
  </si>
  <si>
    <t>数据流清单 Data Flow List</t>
  </si>
  <si>
    <t>数据流ID
DF ID</t>
  </si>
  <si>
    <t>数据流名称
Data Flow Name</t>
  </si>
  <si>
    <t>源实体
Source</t>
  </si>
  <si>
    <t>目标实体
Destination</t>
  </si>
  <si>
    <t>数据类型
Data Type</t>
  </si>
  <si>
    <t>协议
Protocol</t>
  </si>
  <si>
    <t>加密
Encryption</t>
  </si>
  <si>
    <t>认证
Authentication</t>
  </si>
  <si>
    <t>说明
Description</t>
  </si>
  <si>
    <t>DF-01</t>
  </si>
  <si>
    <t>云服务器</t>
  </si>
  <si>
    <t>IVI-SOC</t>
  </si>
  <si>
    <t>固件/软件包</t>
  </si>
  <si>
    <t>HTTPS/TLS1.3</t>
  </si>
  <si>
    <t>远程软件升级数据</t>
  </si>
  <si>
    <t>DF-02</t>
  </si>
  <si>
    <t>远程配置</t>
  </si>
  <si>
    <t>配置数据</t>
  </si>
  <si>
    <t>云端下发配置</t>
  </si>
  <si>
    <t>DF-03</t>
  </si>
  <si>
    <t>远程指令</t>
  </si>
  <si>
    <t>控制指令</t>
  </si>
  <si>
    <t>DoIP/SecOC</t>
  </si>
  <si>
    <t>远程车控指令</t>
  </si>
  <si>
    <t>DF-04</t>
  </si>
  <si>
    <t>状态上报</t>
  </si>
  <si>
    <t>状态数据</t>
  </si>
  <si>
    <t>车辆状态上报</t>
  </si>
  <si>
    <t>DF-05</t>
  </si>
  <si>
    <t>蓝牙音频</t>
  </si>
  <si>
    <t>手机</t>
  </si>
  <si>
    <t>音频流</t>
  </si>
  <si>
    <t>BT A2DP</t>
  </si>
  <si>
    <t>蓝牙音频传输</t>
  </si>
  <si>
    <t>DF-06</t>
  </si>
  <si>
    <t>联系人同步</t>
  </si>
  <si>
    <t>通讯录</t>
  </si>
  <si>
    <t>BT PBAP</t>
  </si>
  <si>
    <t>蓝牙通讯录同步</t>
  </si>
  <si>
    <t>DF-07</t>
  </si>
  <si>
    <t>诊断请求</t>
  </si>
  <si>
    <t>诊断设备</t>
  </si>
  <si>
    <t>IVI-MCU</t>
  </si>
  <si>
    <t>UDS请求</t>
  </si>
  <si>
    <t>DoIP/CAN</t>
  </si>
  <si>
    <t>诊断服务请求</t>
  </si>
  <si>
    <t>DF-08</t>
  </si>
  <si>
    <t>诊断响应</t>
  </si>
  <si>
    <t>UDS响应</t>
  </si>
  <si>
    <t>诊断服务响应</t>
  </si>
  <si>
    <t>DF-09</t>
  </si>
  <si>
    <t>CAN车控</t>
  </si>
  <si>
    <t>车身控制器</t>
  </si>
  <si>
    <t>CAN信号</t>
  </si>
  <si>
    <t>CAN/SecOC</t>
  </si>
  <si>
    <t>车身控制指令</t>
  </si>
  <si>
    <t>DF-10</t>
  </si>
  <si>
    <t>车辆状态</t>
  </si>
  <si>
    <t>车辆状态信息</t>
  </si>
  <si>
    <t>DF-11</t>
  </si>
  <si>
    <t>USB媒体</t>
  </si>
  <si>
    <t>USB设备</t>
  </si>
  <si>
    <t>媒体文件</t>
  </si>
  <si>
    <t>USB MSC</t>
  </si>
  <si>
    <t>U盘媒体文件</t>
  </si>
  <si>
    <t>MY25 EV平台中控主机 - 攻击树分析 Attack Tree Analysis</t>
  </si>
  <si>
    <t>攻击树1 Attack Tree 1: 远程入侵IVI系统 Remote Compromise of IVI System</t>
  </si>
  <si>
    <t xml:space="preserve">
                                        ┌─────────────────────────────────┐
                                        │     【攻击目标 Attack Goal】     │
                                        │     远程入侵IVI系统              │
                                        │     Remote Compromise IVI       │
                                        └────────────────┬────────────────┘
                                                         │
                     ┌───────────────────────────────────┼───────────────────────────────────┐
                     │                                   │                                   │
         ┌───────────┴───────────┐           ┌───────────┴───────────┐           ┌───────────┴───────────┐
         │ [OR] 通过TBox入侵     │           │ [OR] 通过WiFi入侵     │           │ [OR] 通过云服务入侵   │
         │ Via TBox (AT1.1)      │           │ Via WiFi (AT1.2)      │           │ Via Cloud (AT1.3)     │
         └───────────┬───────────┘           └───────────┬───────────┘           └───────────┬───────────┘
                     │                                   │                                   │
     ┌───────────────┼───────────────┐       ┌───────────┼───────────┐       ┌───────────────┼───────────────┐
     │               │               │       │           │           │       │               │               │
┌────┴────┐    ┌─────┴─────┐   ┌─────┴─────┐ │     ┌─────┴─────┐     │ ┌─────┴─────┐   ┌─────┴─────┐   ┌─────┴─────┐
│ 利用4G  │    │ 伪造远程  │   │ TBox固件  │ │     │ WiFi协议  │     │ │ 伪造OTA   │   │ 中间人    │   │ 云服务器  │
│ 协议漏洞│    │ 控制指令  │   │ 漏洞利用  │ │     │ 漏洞利用  │     │ │ 升级包    │   │ 攻击MITM  │   │ 被攻陷    │
│(1.1.1)  │    │ (1.1.2)   │   │ (1.1.3)   │ │     │ (1.2.1)   │     │ │ (1.3.1)   │   │ (1.3.2)   │   │ (1.3.3)   │
└─────────┘    └───────────┘   └───────────┘ │     └───────────┘     │ └───────────┘   └───────────┘   └───────────┘
                                             │           │           │
                                       ┌─────┴─────┐┌────┴────┐┌─────┴─────┐
                                       │ 恶意WiFi  ││连接恶意 ││ 无线监听  │
                                       │ AP欺骗   ││ 热点    ││ 数据窃取  │
                                       │ (1.2.2)  ││(1.2.3)  ││ (1.2.4)   │
                                       └──────────┘└─────────┘└───────────┘
</t>
  </si>
  <si>
    <t>攻击树2 Attack Tree 2: 物理接口攻击 Physical Interface Attack</t>
  </si>
  <si>
    <t xml:space="preserve">
                                        ┌─────────────────────────────────┐
                                        │     【攻击目标 Attack Goal】     │
                                        │     物理接口攻击IVI系统          │
                                        │     Physical Attack on IVI      │
                                        └────────────────┬────────────────┘
                                                         │
                     ┌───────────────────────────────────┼───────────────────────────────────┐
                     │                                   │                                   │
         ┌───────────┴───────────┐           ┌───────────┴───────────┐           ┌───────────┴───────────┐
         │ [OR] OBD接口攻击      │           │ [OR] USB接口攻击      │           │ [OR] CAN总线攻击      │
         │ Via OBD (AT2.1)       │           │ Via USB (AT2.2)       │           │ Via CAN (AT2.3)       │
         └───────────┬───────────┘           └───────────┬───────────┘           └───────────┬───────────┘
                     │                                   │                                   │
     ┌───────────────┼───────────────┐       ┌───────────┼───────────┐       ┌───────────────┼───────────────┐
     │               │               │       │           │           │       │               │               │
┌────┴────┐    ┌─────┴─────┐   ┌─────┴─────┐┌────┴────┐┌────┴────┐┌────┴────┐┌────┴────┐   ┌─────┴─────┐   ┌─────┴─────┐
│非授权   │    │ 注入恶意  │   │ 读取敏感  ││恶意U盘  ││固件刷写 ││USB漏洞  ││CAN报文  │   │ CAN DoS   │   │ CAN中间人 │
│诊断访问 │    │ 诊断指令  │   │ 诊断数据  ││感染病毒 ││攻击     ││利用     ││注入伪造 │   │ 攻击      │   │ 攻击      │
│(2.1.1)  │    │ (2.1.2)   │   │ (2.1.3)   ││(2.2.1)  ││(2.2.2)  ││(2.2.3)  ││(2.3.1)  │   │ (2.3.2)   │   │ (2.3.3)   │
└─────────┘    └───────────┘   └───────────┘└─────────┘└─────────┘└─────────┘└─────────┘   └───────────┘   └───────────┘
</t>
  </si>
  <si>
    <t>攻击树3 Attack Tree 3: 数据窃取 Data Theft</t>
  </si>
  <si>
    <t xml:space="preserve">
                                        ┌─────────────────────────────────┐
                                        │     【攻击目标 Attack Goal】     │
                                        │     窃取IVI系统敏感数据          │
                                        │     Steal Sensitive Data        │
                                        └────────────────┬────────────────┘
                                                         │
                     ┌───────────────────────────────────┼───────────────────────────────────┐
                     │                                   │                                   │
         ┌───────────┴───────────┐           ┌───────────┴───────────┐           ┌───────────┴───────────┐
         │ [OR] 窃取用户数据     │           │ [OR] 窃取车辆信息     │           │ [OR] 窃取安全凭证     │
         │ User Data (AT3.1)     │           │ Vehicle Info (AT3.2)  │           │ Credentials (AT3.3)   │
         └───────────┬───────────┘           └───────────┬───────────┘           └───────────┬───────────┘
                     │                                   │                                   │
     ┌───────────────┼───────────────┐       ┌───────────┼───────────┐       ┌───────────────┼───────────────┐
     │               │               │       │           │           │       │               │               │
┌────┴────┐    ┌─────┴─────┐   ┌─────┴─────┐┌────┴────┐┌────┴────┐┌────┴────┐┌────┴────┐   ┌─────┴─────┐   ┌─────┴─────┐
│导航轨迹 │    │ 通讯录    │   │ 账户信息  ││VIN信息  ││里程篡改 ││故障码   ││提取证书 │   │ 密钥窃取  │   │ 令牌劫持  │
│位置信息 │    │ 个人信息  │   │ 凭证窃取  ││泄露     ││读取     ││泄露     ││(3.3.1)  │   │ (3.3.2)   │   │ (3.3.3)   │
│(3.1.1)  │    │ (3.1.2)   │   │ (3.1.3)   ││(3.2.1)  ││(3.2.2)  ││(3.2.3)  │└─────────┘   └───────────┘   └───────────┘
└─────────┘    └───────────┘   └───────────┘└─────────┘└─────────┘└─────────┘
</t>
  </si>
  <si>
    <t>攻击树4 Attack Tree 4: 恶意车辆控制 Malicious Vehicle Control</t>
  </si>
  <si>
    <t xml:space="preserve">
                                        ┌─────────────────────────────────┐
                                        │     【攻击目标 Attack Goal】     │
                                        │     恶意控制车辆功能             │
                                        │     Malicious Vehicle Control   │
                                        └────────────────┬────────────────┘
                                                         │
                     ┌───────────────────────────────────┼───────────────────────────────────┐
                     │                                   │                                   │
         ┌───────────┴───────────┐           ┌───────────┴───────────┐           ┌───────────┴───────────┐
         │ [OR] 远程车控攻击     │           │ [OR] 本地车控攻击     │           │ [OR] 供应链攻击       │
         │ Remote Control(AT4.1)│           │ Local Control(AT4.2)  │           │ Supply Chain(AT4.3)   │
         └───────────┬───────────┘           └───────────┬───────────┘           └───────────┬───────────┘
                     │                                   │                                   │
     ┌───────────────┼───────────────┐       ┌───────────┼───────────┐       ┌───────────────┼───────────────┐
     │               │               │       │           │           │       │               │               │
┌────┴────┐    ┌─────┴─────┐   ┌─────┴─────┐┌────┴────┐┌────┴────┐┌────┴────┐┌────┴────┐   ┌─────┴─────┐   ┌─────┴─────┐
│伪造车控 │    │ 重放攻击  │   │ 会话劫持  ││APP提权  ││IVI越权  ││物理篡改 ││恶意固件 │   │ 后门植入  │   │ 供应商   │
│指令     │    │ 历史指令  │   │ 接管会话  ││车控     ││车控指令 ││MCU      ││植入     │   │ (4.3.2)   │   │ 被攻陷   │
│(4.1.1)  │    │ (4.1.2)   │   │ (4.1.3)   ││(4.2.1)  ││(4.2.2)  ││(4.2.3)  ││(4.3.1)  │   └───────────┘   │ (4.3.3)  │
└─────────┘    └───────────┘   └───────────┘└─────────┘└─────────┘└─────────┘└─────────┘                   └───────────┘
</t>
  </si>
  <si>
    <t>MY25 EV平台中控主机_TARA分析结果 TARA Analysis Results</t>
  </si>
  <si>
    <t>Asset Identification资产识别</t>
  </si>
  <si>
    <t>Threat &amp; Damage Scenario
威胁&amp;损害场景</t>
  </si>
  <si>
    <t>Threat Analysis
威胁分析</t>
  </si>
  <si>
    <t>Impact Analysis
影响分析</t>
  </si>
  <si>
    <t>Risk Assessment
风险评估</t>
  </si>
  <si>
    <t>Risk Treatment
风险处置</t>
  </si>
  <si>
    <t>Risk Mitigation
风险缓解</t>
  </si>
  <si>
    <t>Asset
ID
资产ID</t>
  </si>
  <si>
    <t>Asset Name
资产名称</t>
  </si>
  <si>
    <t>细分类</t>
  </si>
  <si>
    <t>Category
分类</t>
  </si>
  <si>
    <t>Security Attributes
安全属性</t>
  </si>
  <si>
    <t>STRIDE Model
STRIDE模型</t>
  </si>
  <si>
    <t>Potential Threat and Damage Scenario
潜在威胁和损害场景</t>
  </si>
  <si>
    <t>Attack Path
攻击路径</t>
  </si>
  <si>
    <t xml:space="preserve">来源
</t>
  </si>
  <si>
    <t>Attack Vector(V)
攻击向量</t>
  </si>
  <si>
    <t>Attack Complexity(C)
攻击复杂度</t>
  </si>
  <si>
    <t>Privileges Required(P)
权限要求</t>
  </si>
  <si>
    <t>User Interaction(U)
用户交互</t>
  </si>
  <si>
    <t>Attack Feasibility
攻击可行性计算</t>
  </si>
  <si>
    <t>Safety
安全</t>
  </si>
  <si>
    <t>Financial
经济</t>
  </si>
  <si>
    <t>Operational
操作</t>
  </si>
  <si>
    <t>Privacy &amp; Legislation
隐私和法律</t>
  </si>
  <si>
    <t>Impact Level Calculation
影响等级计算</t>
  </si>
  <si>
    <t>Risk Level
风险等级</t>
  </si>
  <si>
    <t>Risk Treatment Decision
风险处置决策</t>
  </si>
  <si>
    <t>Security Goal
安全目标</t>
  </si>
  <si>
    <t>Security Requirement
安全需求</t>
  </si>
  <si>
    <t xml:space="preserve">Source来源
</t>
  </si>
  <si>
    <t>子领域一</t>
  </si>
  <si>
    <t>子领域二</t>
  </si>
  <si>
    <t>子领域三</t>
  </si>
  <si>
    <t>WP29威胁映射</t>
  </si>
  <si>
    <t>Time
内容</t>
  </si>
  <si>
    <t>Value
指标值</t>
  </si>
  <si>
    <t>Content
内容</t>
  </si>
  <si>
    <t>Level
等级</t>
  </si>
  <si>
    <t>Calculation
计算值</t>
  </si>
  <si>
    <t>Notes
注释</t>
  </si>
  <si>
    <t>Impact Calc
影响计算</t>
  </si>
  <si>
    <t>Impact Level
影响等级</t>
  </si>
  <si>
    <t>WP29 Control Mapping</t>
  </si>
  <si>
    <t>车载多媒体</t>
  </si>
  <si>
    <t>系统实体</t>
  </si>
  <si>
    <t>N/A</t>
  </si>
  <si>
    <t>"Authenticity
真实性"</t>
  </si>
  <si>
    <t>S欺骗</t>
  </si>
  <si>
    <t>黑客仿冒、篡改SOC模块，导致零部件内部所有与SOC关联的模块无法接收真实的信息正常完成功能，甚至会使攻击者成功通过重要身份认证，造成安全隐患</t>
  </si>
  <si>
    <t>1.攻击者锁定待攻击车辆，通过物理拆解取得芯片，并进行调查，了解芯片的物理结构、通讯协议等相关信息。
2.通过观察寻找芯片可读丝印，或进行X光扫描，寻找可进行攻击的芯片调试点或调试接口。
3.攻击者通获取零部件的连接，将SOC的原始固件替换为自己编写的恶意固件。在设备启动时，SOC加载并执行恶意固件，导致设备执行攻击者预定的恶意操作。</t>
  </si>
  <si>
    <t xml:space="preserve">4.1
5.1
6.1
6.2
6.3
</t>
  </si>
  <si>
    <t>本地</t>
  </si>
  <si>
    <t>低</t>
  </si>
  <si>
    <t>不需要</t>
  </si>
  <si>
    <t>中等的</t>
  </si>
  <si>
    <t>重大的</t>
  </si>
  <si>
    <t>可忽略不计的</t>
  </si>
  <si>
    <t>1.应确保操作系统启动时应使用可信机制，在验证操作系统签名并判定通过后，再从可信存储区域加载操作系统，避免加载被算改的操作系统</t>
  </si>
  <si>
    <t>"Availability
可用性"</t>
  </si>
  <si>
    <t>D拒绝服务</t>
  </si>
  <si>
    <t>黑客通过超载SOC模块的处理能力或发送大量无效请求，造成SOC模块过载，导致车辆系统崩溃或无响应，导致无法向零部件模块接收或传递数据，功能无法正常通过系统使用。</t>
  </si>
  <si>
    <t>1.攻击者通过物理手段（如高温、高压、电磁辐射等）对MCU进行破坏，
2.损坏硬件组件或改变电子状态，导致SOC无法继续工作。</t>
  </si>
  <si>
    <t>24.1
8.1</t>
  </si>
  <si>
    <t>1、操作系统应裁剪掉不需要的组件与原生apk应用，如不对量产开放的开发工具等，以防止不必要的资源占用并防止攻击者利用开发工具恶意破坏系统</t>
  </si>
  <si>
    <t>SoC</t>
  </si>
  <si>
    <t>Flash</t>
  </si>
  <si>
    <t>"Authenticity
真实性"</t>
  </si>
  <si>
    <t>多媒体源数据被仿冒，导致多媒体真实性被破坏，导致多媒体模块传递的错误的视频信息，产生误导影响。</t>
  </si>
  <si>
    <t>1.攻击者通过USB接口攻击多媒体主机，获得多媒体主机权限，进而攻击其他车载部件
2.使用伪造的固件及应用进行替换
3.导致功能执行异常</t>
  </si>
  <si>
    <t>4.1
4.2</t>
  </si>
  <si>
    <t>高</t>
  </si>
  <si>
    <t>"Integrity
完整性"</t>
  </si>
  <si>
    <t>T篡改</t>
  </si>
  <si>
    <t>多媒体源被篡改，攻击者可以修改视频内容，导致对车辆安全和操控产生负面影响。</t>
  </si>
  <si>
    <t>1.攻击者通过硬件调试接口如JTAG、UART接口攻击车载部件
2.车载部件固件逻辑被篡改
3.执行器错误执行相关指令，导致功能执行异常</t>
  </si>
  <si>
    <t>4.1
5.1
6.1
6.2
6.3</t>
  </si>
  <si>
    <t>需要</t>
  </si>
  <si>
    <t>基于媒体文件的格式定义，对文件格式进行符合性校验，只允许读写指定格式的文件或安装执行指定签名的应用软件</t>
  </si>
  <si>
    <t>多媒体源收到攻击者拒绝服务攻击或攻击者通过发送大量无效请求或恶意指令，使多媒体源过载或崩溃，导致视频信息无法正常传输或显示，导致驾驶员对周围环境的感知能力，增加驾驶安全风险。</t>
  </si>
  <si>
    <t>1.攻击者发送大量无效、恶意或异常的请求、命令或数据包，使零部件并发执行大量任务，占用CPU、内存、网络带宽等各类资源资源。
2.功能模块在处理过多恶意请求的情况下，耗尽资源、崩溃或无法正常响应合法请求。
3.攻击者利用专用的转接设备连接到车辆的外部接口（如USB端口、OBD端口或JTAG口）。
4.攻击者发送大量无效、恶意或异常的请求、命令或数据包，使零部件并发执行大量任务，占用CPU、内存、网络带宽等各类资源资源。
5.功能模块在处理过多恶意请求的情况下，耗尽资源、崩溃或无法正常响应合法请求。</t>
  </si>
  <si>
    <t xml:space="preserve">E014
</t>
  </si>
  <si>
    <t>OBD接口</t>
  </si>
  <si>
    <t>"Elevation of Privilege
权限提升"</t>
  </si>
  <si>
    <t>E权限提升</t>
  </si>
  <si>
    <t>攻击者通过非授权的诊断仪等设备连接OBD端口，通过恶意指令执行操作，破坏系统安全。</t>
  </si>
  <si>
    <t>1、攻击者通过相关非授权设备恶意连接OBD接口，破坏系统安全。</t>
  </si>
  <si>
    <t>7.1
9.1</t>
  </si>
  <si>
    <t>通过扫二维码等方式对OBD接口实行访问控制，不允许非受控的连接。</t>
  </si>
  <si>
    <t>与多媒体主机连接的外置功放被替换，导致功能调用的时候发生异常</t>
  </si>
  <si>
    <t>1、攻击者通过拆卸外部设备，分析设备。
2、使用其他零部件替换外部实体设备。
3、导致功能执行异常</t>
  </si>
  <si>
    <t>27.1
28.2
30.1
32.1</t>
  </si>
  <si>
    <t>物理</t>
  </si>
  <si>
    <t>无</t>
  </si>
  <si>
    <t>攻击者冒充外部合法设备连接UART接口进行各种攻击，可能导致零部件无法使用。</t>
  </si>
  <si>
    <t>攻击者通过相关非授权设备连接UART接口，通过指令实行访问、攻击等操作。</t>
  </si>
  <si>
    <t>CAN/CANFD接口</t>
  </si>
  <si>
    <t>"Elevation of Privilege
权限提升"</t>
  </si>
  <si>
    <t>攻击者冒充外部合法设备连接CAN/CANFD接口进行各种攻击，可能导致零部件无法使用。</t>
  </si>
  <si>
    <t>攻击者通过诊断仪等非授权设备连接CAN接口，通过指令实行访问、攻击等操作。</t>
  </si>
  <si>
    <t>严重的</t>
  </si>
  <si>
    <t>片外储存</t>
  </si>
  <si>
    <t>DDR</t>
  </si>
  <si>
    <t>储存在片外储存的OTA升级包被替换，导致功能调用的时候发生异常</t>
  </si>
  <si>
    <t>1.攻击者通过OBD接口攻击车载部件，进而非法访问存储在车载部件的软件升级包
2.使用伪造的故障和保养信息数据替换原来的故障和保养信息
3.故障和保养信息异常</t>
  </si>
  <si>
    <t>4.1
4.2
12.1</t>
  </si>
  <si>
    <t>攻击者恶意篡改系统DDR中存储的OTA升级包数据，导致OTA升级失败，无法实现其正常功能</t>
  </si>
  <si>
    <t>1. 攻击者利用专用的转接设备连接到车辆的外部接口（如USB端口、OBD端口或JTAG口）。
2. 攻击者提取OTA升级包进行篡改并将篡改后的OTA升级包刷入零部件。</t>
  </si>
  <si>
    <t>26.1
26.2
26.3</t>
  </si>
  <si>
    <t>"Confidentiality
机密性"</t>
  </si>
  <si>
    <t>I信息泄露</t>
  </si>
  <si>
    <t>1.攻击者通过USB接口攻击多媒体主机，获得多媒体主机权限，进而攻击其他车载部件
2.读取固件应用的敏感信息
3.导致车辆敏感信息泄露</t>
  </si>
  <si>
    <t>1.攻击者通过USB接口攻击多媒体主机
2.访问本地存储的OTA升级包，篡改本地OTA升级包
3.导致OTA升级包泄露</t>
  </si>
  <si>
    <t>7.1
3.5
31.1</t>
  </si>
  <si>
    <t>攻击者越权访问存储器，使得OTA升级包存储器机密性被破坏，攻击者可根据获取的升级包进行篡改、注入等一系列活动。</t>
  </si>
  <si>
    <t>1. 攻击者锁定待攻击车辆，通过物理拆解取得芯片，并进行调查，了解芯片的物理结构、通讯协议等相关信息。
2. 通过观察寻找芯片可读丝印，或进行X光扫描，寻找可进行攻击的芯片调试点或调试接口。
3. 提取SOC中的固件，对SOC固件进行漏洞挖掘。可能通过输入超出缓冲区长度的数据，覆盖相邻内存区域，改变程序执行路径或执行恶意代码。获取SOC的执行权限，进而进行权限提升。</t>
  </si>
  <si>
    <t>13.1
8.1</t>
  </si>
  <si>
    <t>通讯接口</t>
  </si>
  <si>
    <t>无线传输</t>
  </si>
  <si>
    <t>BT模块控制指令</t>
  </si>
  <si>
    <t>攻击者恶意仿冒蓝牙模块控制指令，导致系统执行虚假的指令，破坏车辆安全。</t>
  </si>
  <si>
    <t>1. 攻击者锁定目标车辆，找到负责通信的零部件位置，拨开线束并拆解下零部件。
2. 利用已经找到的接口或调试点，通过飞线，使用定制转接器连接到自己的电脑设备。
3. 使用抓包工具抓取车辆和以太网的通信消息，并修改其中的数据或指令，重新发送到目标车辆系统、或云端服务器中。
4. 使用嗅探工具截取零部件与服务器通信数据并将消息篡改后重放。
数据的完整性不能保证，零部件或服务器将收到篡改后的数据做出错误响应。</t>
  </si>
  <si>
    <t>邻居</t>
  </si>
  <si>
    <t>"Non-Repudiation
不可抵赖性"</t>
  </si>
  <si>
    <t>R抵赖</t>
  </si>
  <si>
    <t>攻击者攻击多媒体系统，发送虚假的控制指令，系统接收到错误信息无法溯源，进而影响蓝牙模块使用安全。</t>
  </si>
  <si>
    <t>网络</t>
  </si>
  <si>
    <t>攻击者对BT模块控制指令进行篡改，导致相关零部件收到了错误的指令，不能按预期工作。</t>
  </si>
  <si>
    <t>5.2
6.2
11.3</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</si>
</sst>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color theme="1"/>
      <name val="Calibri"/>
      <scheme val="minor"/>
    </font>
    <font>
      <b/>
      <sz val="16.0"/>
      <color theme="1"/>
      <name val="Calibri"/>
      <scheme val="minor"/>
    </font>
    <font>
      <color theme="1"/>
      <name val="Calibri"/>
      <scheme val="minor"/>
    </font>
    <font>
      <b/>
      <sz val="16.0"/>
      <color rgb="FF2F5496"/>
      <name val="Calibri"/>
      <scheme val="minor"/>
    </font>
    <font>
      <b/>
      <sz val="10.0"/>
      <color rgb="FFFFFFFF"/>
      <name val="Calibri"/>
      <scheme val="minor"/>
    </font>
    <font/>
    <font>
      <sz val="11.0"/>
      <color theme="1"/>
      <name val="Calibri"/>
    </font>
    <font>
      <sz val="9.0"/>
      <color theme="1"/>
      <name val="Courier New"/>
    </font>
    <font>
      <b/>
      <sz val="14.0"/>
      <color rgb="FF2F5496"/>
      <name val="Calibri"/>
      <scheme val="minor"/>
    </font>
    <font>
      <b/>
      <sz val="9.0"/>
      <color rgb="FF000000"/>
      <name val="Calibri"/>
      <scheme val="minor"/>
    </font>
  </fonts>
  <fills count="7">
    <fill>
      <patternFill patternType="none"/>
    </fill>
    <fill>
      <patternFill patternType="lightGray"/>
    </fill>
    <fill>
      <patternFill patternType="solid">
        <fgColor rgb="FF2F5496"/>
        <bgColor rgb="FF2F5496"/>
      </patternFill>
    </fill>
    <fill>
      <patternFill patternType="solid">
        <fgColor rgb="FF4472C4"/>
        <bgColor rgb="FF4472C4"/>
      </patternFill>
    </fill>
    <fill>
      <patternFill patternType="solid">
        <fgColor theme="0"/>
        <bgColor theme="0"/>
      </patternFill>
    </fill>
    <fill>
      <patternFill patternType="solid">
        <fgColor rgb="FFC6EFCE"/>
        <bgColor rgb="FFC6EFCE"/>
      </patternFill>
    </fill>
    <fill>
      <patternFill patternType="solid">
        <fgColor rgb="FF8EA9DB"/>
        <bgColor rgb="FF8EA9DB"/>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horizontal="center" readingOrder="0" vertical="center"/>
    </xf>
    <xf borderId="0" fillId="0" fontId="3" numFmtId="0" xfId="0" applyAlignment="1" applyFont="1">
      <alignment horizontal="center" readingOrder="0" vertical="center"/>
    </xf>
    <xf borderId="0" fillId="0" fontId="3" numFmtId="0" xfId="0" applyAlignment="1" applyFont="1">
      <alignment horizontal="center" vertical="center"/>
    </xf>
    <xf borderId="0" fillId="0" fontId="3" numFmtId="0" xfId="0" applyAlignment="1" applyFont="1">
      <alignment readingOrder="0"/>
    </xf>
    <xf borderId="0" fillId="0" fontId="4" numFmtId="0" xfId="0" applyAlignment="1" applyFont="1">
      <alignment horizontal="center" readingOrder="0" shrinkToFit="0" vertical="center" wrapText="1"/>
    </xf>
    <xf borderId="1" fillId="2" fontId="5" numFmtId="0" xfId="0" applyAlignment="1" applyBorder="1" applyFill="1" applyFont="1">
      <alignment horizontal="center" shrinkToFit="0" vertical="center" wrapText="1"/>
    </xf>
    <xf borderId="2" fillId="0" fontId="6" numFmtId="0" xfId="0" applyBorder="1" applyFont="1"/>
    <xf borderId="3" fillId="0" fontId="6" numFmtId="0" xfId="0" applyBorder="1" applyFont="1"/>
    <xf borderId="0" fillId="0" fontId="7" numFmtId="0" xfId="0" applyAlignment="1" applyFont="1">
      <alignment horizontal="left" shrinkToFit="0" vertical="center" wrapText="1"/>
    </xf>
    <xf borderId="0" fillId="0" fontId="8" numFmtId="0" xfId="0" applyAlignment="1" applyFont="1">
      <alignment horizontal="left" vertical="top"/>
    </xf>
    <xf borderId="4" fillId="3" fontId="5" numFmtId="0" xfId="0" applyAlignment="1" applyBorder="1" applyFill="1" applyFont="1">
      <alignment horizontal="center" shrinkToFit="0" vertical="center" wrapText="1"/>
    </xf>
    <xf borderId="1" fillId="3" fontId="5" numFmtId="0" xfId="0" applyAlignment="1" applyBorder="1" applyFont="1">
      <alignment horizontal="center" shrinkToFit="0" vertical="center" wrapText="1"/>
    </xf>
    <xf borderId="4" fillId="0" fontId="7"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4" fillId="0" fontId="7" numFmtId="0" xfId="0" applyAlignment="1" applyBorder="1" applyFont="1">
      <alignment horizontal="left" shrinkToFit="0" vertical="center" wrapText="1"/>
    </xf>
    <xf borderId="0" fillId="0" fontId="9" numFmtId="0" xfId="0" applyAlignment="1" applyFont="1">
      <alignment horizontal="center" readingOrder="0" shrinkToFit="0" vertical="center" wrapText="1"/>
    </xf>
    <xf borderId="4" fillId="4" fontId="7" numFmtId="0" xfId="0" applyAlignment="1" applyBorder="1" applyFill="1" applyFont="1">
      <alignment horizontal="center" readingOrder="0" shrinkToFit="0" vertical="center" wrapText="1"/>
    </xf>
    <xf borderId="4" fillId="4" fontId="7" numFmtId="0" xfId="0" applyAlignment="1" applyBorder="1" applyFont="1">
      <alignment horizontal="center" shrinkToFit="0" vertical="center" wrapText="1"/>
    </xf>
    <xf borderId="0" fillId="4" fontId="3" numFmtId="0" xfId="0" applyFont="1"/>
    <xf borderId="4" fillId="5" fontId="7" numFmtId="0" xfId="0" applyAlignment="1" applyBorder="1" applyFill="1" applyFont="1">
      <alignment horizontal="center" shrinkToFit="0" vertical="center" wrapText="1"/>
    </xf>
    <xf borderId="1" fillId="2" fontId="5" numFmtId="0" xfId="0" applyAlignment="1" applyBorder="1" applyFont="1">
      <alignment horizontal="center" readingOrder="0" shrinkToFit="0" vertical="center" wrapText="1"/>
    </xf>
    <xf borderId="4" fillId="2" fontId="5" numFmtId="0" xfId="0" applyAlignment="1" applyBorder="1" applyFont="1">
      <alignment horizontal="center" shrinkToFit="0" vertical="center" wrapText="1"/>
    </xf>
    <xf borderId="5" fillId="3" fontId="5" numFmtId="0" xfId="0" applyAlignment="1" applyBorder="1" applyFont="1">
      <alignment horizontal="center" readingOrder="0" shrinkToFit="0" vertical="center" wrapText="1"/>
    </xf>
    <xf borderId="1" fillId="3" fontId="5" numFmtId="0" xfId="0" applyAlignment="1" applyBorder="1" applyFont="1">
      <alignment horizontal="center" readingOrder="0" shrinkToFit="0" vertical="center" wrapText="1"/>
    </xf>
    <xf borderId="5" fillId="3" fontId="5" numFmtId="0" xfId="0" applyAlignment="1" applyBorder="1" applyFont="1">
      <alignment horizontal="center" shrinkToFit="0" vertical="center" wrapText="1"/>
    </xf>
    <xf borderId="4" fillId="3" fontId="5" numFmtId="0" xfId="0" applyAlignment="1" applyBorder="1" applyFont="1">
      <alignment horizontal="center" readingOrder="0" shrinkToFit="0" vertical="center" wrapText="1"/>
    </xf>
    <xf borderId="6" fillId="0" fontId="6" numFmtId="0" xfId="0" applyBorder="1" applyFont="1"/>
    <xf borderId="6" fillId="3" fontId="5" numFmtId="0" xfId="0" applyAlignment="1" applyBorder="1" applyFont="1">
      <alignment horizontal="center" readingOrder="0" shrinkToFit="0" vertical="center" wrapText="1"/>
    </xf>
    <xf borderId="4" fillId="6" fontId="10" numFmtId="0" xfId="0" applyAlignment="1" applyBorder="1" applyFill="1" applyFont="1">
      <alignment horizontal="center" readingOrder="0" shrinkToFit="0" vertical="center" wrapText="1"/>
    </xf>
    <xf borderId="4" fillId="6" fontId="10" numFmtId="0" xfId="0" applyAlignment="1" applyBorder="1" applyFont="1">
      <alignment horizontal="center" shrinkToFit="0" vertical="center" wrapText="1"/>
    </xf>
    <xf borderId="0" fillId="0" fontId="3" numFmtId="0" xfId="0" applyAlignment="1" applyFont="1">
      <alignment horizontal="left" readingOrder="0" vertical="center"/>
    </xf>
    <xf borderId="0" fillId="0" fontId="3" numFmtId="0" xfId="0" applyAlignment="1" applyFont="1">
      <alignment horizontal="left" readingOrder="0" shrinkToFit="0" vertical="center" wrapText="1"/>
    </xf>
    <xf borderId="0" fillId="0" fontId="3" numFmtId="0" xfId="0" applyAlignment="1" applyFont="1">
      <alignment horizontal="left" vertical="center"/>
    </xf>
    <xf borderId="0" fillId="0" fontId="3" numFmtId="0" xfId="0" applyAlignment="1" applyFont="1">
      <alignment horizontal="left" shrinkToFit="0" vertical="center" wrapText="1"/>
    </xf>
    <xf borderId="0" fillId="0" fontId="1" numFmtId="0" xfId="0" applyAlignment="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6" max="6" width="48.29"/>
  </cols>
  <sheetData>
    <row r="4" ht="58.5" customHeight="1">
      <c r="F4" s="1" t="s">
        <v>0</v>
      </c>
      <c r="G4" s="2"/>
    </row>
    <row r="5">
      <c r="F5" s="1" t="s">
        <v>1</v>
      </c>
      <c r="G5" s="2"/>
    </row>
    <row r="6">
      <c r="F6" s="1" t="s">
        <v>2</v>
      </c>
      <c r="G6" s="2"/>
    </row>
    <row r="7" ht="121.5" customHeight="1">
      <c r="A7" s="3" t="s">
        <v>3</v>
      </c>
    </row>
    <row r="8" ht="64.5" customHeight="1">
      <c r="A8" s="4"/>
      <c r="B8" s="4"/>
      <c r="C8" s="4"/>
      <c r="D8" s="4"/>
      <c r="E8" s="3" t="s">
        <v>4</v>
      </c>
    </row>
    <row r="9">
      <c r="A9" s="4" t="s">
        <v>5</v>
      </c>
      <c r="C9" s="4">
        <v>2025.11</v>
      </c>
      <c r="E9" s="5"/>
      <c r="F9" s="5"/>
      <c r="G9" s="5"/>
    </row>
    <row r="10">
      <c r="A10" s="4" t="s">
        <v>6</v>
      </c>
      <c r="C10" s="4">
        <v>2025.0</v>
      </c>
      <c r="E10" s="5"/>
      <c r="F10" s="5"/>
      <c r="G10" s="5"/>
    </row>
    <row r="11">
      <c r="A11" s="4" t="s">
        <v>7</v>
      </c>
      <c r="C11" s="5"/>
      <c r="E11" s="5"/>
      <c r="F11" s="5"/>
      <c r="G11" s="5"/>
    </row>
    <row r="12">
      <c r="A12" s="4" t="s">
        <v>8</v>
      </c>
      <c r="C12" s="5"/>
      <c r="E12" s="5"/>
      <c r="F12" s="5"/>
      <c r="G12" s="5"/>
    </row>
    <row r="13">
      <c r="A13" s="6"/>
    </row>
  </sheetData>
  <mergeCells count="10">
    <mergeCell ref="A12:B12"/>
    <mergeCell ref="C12:D12"/>
    <mergeCell ref="A7:G7"/>
    <mergeCell ref="A9:B9"/>
    <mergeCell ref="C9:D9"/>
    <mergeCell ref="A10:B10"/>
    <mergeCell ref="A11:B11"/>
    <mergeCell ref="C10:D10"/>
    <mergeCell ref="C11:D11"/>
    <mergeCell ref="E8:G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6" width="35.0"/>
    <col customWidth="1" min="7" max="26" width="8.71"/>
  </cols>
  <sheetData>
    <row r="1">
      <c r="A1" s="7" t="s">
        <v>9</v>
      </c>
    </row>
    <row r="3">
      <c r="A3" s="8" t="s">
        <v>10</v>
      </c>
      <c r="B3" s="9"/>
      <c r="C3" s="9"/>
      <c r="D3" s="9"/>
      <c r="E3" s="9"/>
      <c r="F3" s="10"/>
    </row>
    <row r="4">
      <c r="A4" s="11" t="s">
        <v>11</v>
      </c>
    </row>
    <row r="12">
      <c r="A12" s="8" t="s">
        <v>12</v>
      </c>
      <c r="B12" s="9"/>
      <c r="C12" s="9"/>
      <c r="D12" s="9"/>
      <c r="E12" s="9"/>
      <c r="F12" s="10"/>
    </row>
    <row r="13">
      <c r="A13" s="12" t="s">
        <v>13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c r="A32" s="8" t="s">
        <v>14</v>
      </c>
      <c r="B32" s="9"/>
      <c r="C32" s="9"/>
      <c r="D32" s="9"/>
      <c r="E32" s="9"/>
      <c r="F32" s="10"/>
    </row>
    <row r="33" ht="15.75" customHeight="1">
      <c r="A33" s="12" t="s">
        <v>15</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c r="A52" s="8" t="s">
        <v>16</v>
      </c>
      <c r="B52" s="9"/>
      <c r="C52" s="9"/>
      <c r="D52" s="9"/>
      <c r="E52" s="9"/>
      <c r="F52" s="10"/>
    </row>
    <row r="53" ht="15.75" customHeight="1">
      <c r="A53" s="12" t="s">
        <v>17</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c r="A72" s="8" t="s">
        <v>18</v>
      </c>
      <c r="B72" s="9"/>
      <c r="C72" s="9"/>
      <c r="D72" s="9"/>
      <c r="E72" s="9"/>
      <c r="F72" s="10"/>
    </row>
    <row r="73" ht="15.75" customHeight="1">
      <c r="A73" s="13" t="s">
        <v>19</v>
      </c>
      <c r="B73" s="14" t="s">
        <v>20</v>
      </c>
      <c r="C73" s="9"/>
      <c r="D73" s="9"/>
      <c r="E73" s="9"/>
      <c r="F73" s="10"/>
    </row>
    <row r="74" ht="15.75" customHeight="1">
      <c r="A74" s="15" t="s">
        <v>21</v>
      </c>
      <c r="B74" s="16" t="s">
        <v>22</v>
      </c>
      <c r="C74" s="9"/>
      <c r="D74" s="9"/>
      <c r="E74" s="9"/>
      <c r="F74" s="10"/>
    </row>
    <row r="75" ht="15.75" customHeight="1">
      <c r="A75" s="15" t="s">
        <v>23</v>
      </c>
      <c r="B75" s="16" t="s">
        <v>24</v>
      </c>
      <c r="C75" s="9"/>
      <c r="D75" s="9"/>
      <c r="E75" s="9"/>
      <c r="F75" s="10"/>
    </row>
    <row r="76" ht="15.75" customHeight="1">
      <c r="A76" s="15" t="s">
        <v>25</v>
      </c>
      <c r="B76" s="16" t="s">
        <v>26</v>
      </c>
      <c r="C76" s="9"/>
      <c r="D76" s="9"/>
      <c r="E76" s="9"/>
      <c r="F76" s="10"/>
    </row>
    <row r="77" ht="15.75" customHeight="1">
      <c r="A77" s="15" t="s">
        <v>27</v>
      </c>
      <c r="B77" s="16" t="s">
        <v>28</v>
      </c>
      <c r="C77" s="9"/>
      <c r="D77" s="9"/>
      <c r="E77" s="9"/>
      <c r="F77" s="10"/>
    </row>
    <row r="78" ht="15.75" customHeight="1">
      <c r="A78" s="15" t="s">
        <v>29</v>
      </c>
      <c r="B78" s="16" t="s">
        <v>30</v>
      </c>
      <c r="C78" s="9"/>
      <c r="D78" s="9"/>
      <c r="E78" s="9"/>
      <c r="F78" s="10"/>
    </row>
    <row r="79" ht="15.75" customHeight="1">
      <c r="A79" s="15" t="s">
        <v>31</v>
      </c>
      <c r="B79" s="16" t="s">
        <v>32</v>
      </c>
      <c r="C79" s="9"/>
      <c r="D79" s="9"/>
      <c r="E79" s="9"/>
      <c r="F79" s="10"/>
    </row>
    <row r="80" ht="15.75" customHeight="1">
      <c r="A80" s="15" t="s">
        <v>33</v>
      </c>
      <c r="B80" s="16" t="s">
        <v>34</v>
      </c>
      <c r="C80" s="9"/>
      <c r="D80" s="9"/>
      <c r="E80" s="9"/>
      <c r="F80" s="10"/>
    </row>
    <row r="81" ht="15.75" customHeight="1">
      <c r="A81" s="15" t="s">
        <v>35</v>
      </c>
      <c r="B81" s="16" t="s">
        <v>36</v>
      </c>
      <c r="C81" s="9"/>
      <c r="D81" s="9"/>
      <c r="E81" s="9"/>
      <c r="F81" s="10"/>
    </row>
    <row r="82" ht="15.75" customHeight="1">
      <c r="A82" s="15" t="s">
        <v>37</v>
      </c>
      <c r="B82" s="16" t="s">
        <v>38</v>
      </c>
      <c r="C82" s="9"/>
      <c r="D82" s="9"/>
      <c r="E82" s="9"/>
      <c r="F82" s="10"/>
    </row>
    <row r="83" ht="15.75" customHeight="1">
      <c r="A83" s="15" t="s">
        <v>39</v>
      </c>
      <c r="B83" s="16" t="s">
        <v>40</v>
      </c>
      <c r="C83" s="9"/>
      <c r="D83" s="9"/>
      <c r="E83" s="9"/>
      <c r="F83" s="10"/>
    </row>
    <row r="84" ht="15.75" customHeight="1"/>
    <row r="85" ht="15.75" customHeight="1">
      <c r="A85" s="8" t="s">
        <v>41</v>
      </c>
      <c r="B85" s="9"/>
      <c r="C85" s="9"/>
      <c r="D85" s="9"/>
      <c r="E85" s="9"/>
      <c r="F85" s="10"/>
    </row>
    <row r="86" ht="15.75" customHeight="1">
      <c r="A86" s="13" t="s">
        <v>42</v>
      </c>
      <c r="B86" s="14" t="s">
        <v>43</v>
      </c>
      <c r="C86" s="9"/>
      <c r="D86" s="9"/>
      <c r="E86" s="10"/>
      <c r="F86" s="13" t="s">
        <v>44</v>
      </c>
    </row>
    <row r="87" ht="15.75" customHeight="1">
      <c r="A87" s="15" t="s">
        <v>45</v>
      </c>
      <c r="B87" s="16" t="s">
        <v>46</v>
      </c>
      <c r="C87" s="9"/>
      <c r="D87" s="9"/>
      <c r="E87" s="10"/>
      <c r="F87" s="17" t="s">
        <v>47</v>
      </c>
    </row>
    <row r="88" ht="15.75" customHeight="1">
      <c r="A88" s="15" t="s">
        <v>48</v>
      </c>
      <c r="B88" s="16" t="s">
        <v>49</v>
      </c>
      <c r="C88" s="9"/>
      <c r="D88" s="9"/>
      <c r="E88" s="10"/>
      <c r="F88" s="17" t="s">
        <v>50</v>
      </c>
    </row>
    <row r="89" ht="15.75" customHeight="1">
      <c r="A89" s="15" t="s">
        <v>51</v>
      </c>
      <c r="B89" s="16" t="s">
        <v>52</v>
      </c>
      <c r="C89" s="9"/>
      <c r="D89" s="9"/>
      <c r="E89" s="10"/>
      <c r="F89" s="17" t="s">
        <v>53</v>
      </c>
    </row>
    <row r="90" ht="15.75" customHeight="1">
      <c r="A90" s="15" t="s">
        <v>54</v>
      </c>
      <c r="B90" s="16" t="s">
        <v>55</v>
      </c>
      <c r="C90" s="9"/>
      <c r="D90" s="9"/>
      <c r="E90" s="10"/>
      <c r="F90" s="17" t="s">
        <v>56</v>
      </c>
    </row>
    <row r="91" ht="15.75" customHeight="1">
      <c r="A91" s="15" t="s">
        <v>57</v>
      </c>
      <c r="B91" s="16" t="s">
        <v>58</v>
      </c>
      <c r="C91" s="9"/>
      <c r="D91" s="9"/>
      <c r="E91" s="10"/>
      <c r="F91" s="17" t="s">
        <v>59</v>
      </c>
    </row>
    <row r="92" ht="15.75" customHeight="1">
      <c r="A92" s="15" t="s">
        <v>60</v>
      </c>
      <c r="B92" s="16" t="s">
        <v>61</v>
      </c>
      <c r="C92" s="9"/>
      <c r="D92" s="9"/>
      <c r="E92" s="10"/>
      <c r="F92" s="17" t="s">
        <v>62</v>
      </c>
    </row>
    <row r="93" ht="15.75" customHeight="1">
      <c r="A93" s="15" t="s">
        <v>63</v>
      </c>
      <c r="B93" s="16" t="s">
        <v>64</v>
      </c>
      <c r="C93" s="9"/>
      <c r="D93" s="9"/>
      <c r="E93" s="10"/>
      <c r="F93" s="17" t="s">
        <v>65</v>
      </c>
    </row>
    <row r="94" ht="15.75" customHeight="1">
      <c r="A94" s="15" t="s">
        <v>66</v>
      </c>
      <c r="B94" s="16" t="s">
        <v>67</v>
      </c>
      <c r="C94" s="9"/>
      <c r="D94" s="9"/>
      <c r="E94" s="10"/>
      <c r="F94" s="17" t="s">
        <v>68</v>
      </c>
    </row>
    <row r="95" ht="15.75" customHeight="1">
      <c r="A95" s="15" t="s">
        <v>69</v>
      </c>
      <c r="B95" s="16" t="s">
        <v>70</v>
      </c>
      <c r="C95" s="9"/>
      <c r="D95" s="9"/>
      <c r="E95" s="10"/>
      <c r="F95" s="17" t="s">
        <v>71</v>
      </c>
    </row>
    <row r="96" ht="15.75" customHeight="1">
      <c r="A96" s="15" t="s">
        <v>72</v>
      </c>
      <c r="B96" s="16" t="s">
        <v>73</v>
      </c>
      <c r="C96" s="9"/>
      <c r="D96" s="9"/>
      <c r="E96" s="10"/>
      <c r="F96" s="17" t="s">
        <v>74</v>
      </c>
    </row>
    <row r="97" ht="15.75" customHeight="1">
      <c r="A97" s="15" t="s">
        <v>75</v>
      </c>
      <c r="B97" s="16" t="s">
        <v>76</v>
      </c>
      <c r="C97" s="9"/>
      <c r="D97" s="9"/>
      <c r="E97" s="10"/>
      <c r="F97" s="17" t="s">
        <v>77</v>
      </c>
    </row>
    <row r="98" ht="15.75" customHeight="1">
      <c r="A98" s="15" t="s">
        <v>78</v>
      </c>
      <c r="B98" s="16" t="s">
        <v>79</v>
      </c>
      <c r="C98" s="9"/>
      <c r="D98" s="9"/>
      <c r="E98" s="10"/>
      <c r="F98" s="17" t="s">
        <v>80</v>
      </c>
    </row>
    <row r="99" ht="15.75" customHeight="1">
      <c r="A99" s="15" t="s">
        <v>81</v>
      </c>
      <c r="B99" s="16" t="s">
        <v>82</v>
      </c>
      <c r="C99" s="9"/>
      <c r="D99" s="9"/>
      <c r="E99" s="10"/>
      <c r="F99" s="17" t="s">
        <v>83</v>
      </c>
    </row>
    <row r="100" ht="15.75" customHeight="1">
      <c r="A100" s="15" t="s">
        <v>84</v>
      </c>
      <c r="B100" s="16" t="s">
        <v>85</v>
      </c>
      <c r="C100" s="9"/>
      <c r="D100" s="9"/>
      <c r="E100" s="10"/>
      <c r="F100" s="17" t="s">
        <v>86</v>
      </c>
    </row>
    <row r="101" ht="15.75" customHeight="1">
      <c r="A101" s="15" t="s">
        <v>87</v>
      </c>
      <c r="B101" s="16" t="s">
        <v>88</v>
      </c>
      <c r="C101" s="9"/>
      <c r="D101" s="9"/>
      <c r="E101" s="10"/>
      <c r="F101" s="17" t="s">
        <v>89</v>
      </c>
    </row>
    <row r="102" ht="15.75" customHeight="1">
      <c r="A102" s="15" t="s">
        <v>90</v>
      </c>
      <c r="B102" s="16" t="s">
        <v>91</v>
      </c>
      <c r="C102" s="9"/>
      <c r="D102" s="9"/>
      <c r="E102" s="10"/>
      <c r="F102" s="17" t="s">
        <v>92</v>
      </c>
    </row>
    <row r="103" ht="15.75" customHeight="1">
      <c r="A103" s="15" t="s">
        <v>93</v>
      </c>
      <c r="B103" s="16" t="s">
        <v>94</v>
      </c>
      <c r="C103" s="9"/>
      <c r="D103" s="9"/>
      <c r="E103" s="10"/>
      <c r="F103" s="17" t="s">
        <v>95</v>
      </c>
    </row>
    <row r="104" ht="15.75" customHeight="1">
      <c r="A104" s="15" t="s">
        <v>96</v>
      </c>
      <c r="B104" s="16" t="s">
        <v>97</v>
      </c>
      <c r="C104" s="9"/>
      <c r="D104" s="9"/>
      <c r="E104" s="10"/>
      <c r="F104" s="17" t="s">
        <v>98</v>
      </c>
    </row>
    <row r="105" ht="15.75" customHeight="1">
      <c r="A105" s="15" t="s">
        <v>99</v>
      </c>
      <c r="B105" s="16" t="s">
        <v>100</v>
      </c>
      <c r="C105" s="9"/>
      <c r="D105" s="9"/>
      <c r="E105" s="10"/>
      <c r="F105" s="17" t="s">
        <v>101</v>
      </c>
    </row>
    <row r="106" ht="15.75" customHeight="1">
      <c r="A106" s="15" t="s">
        <v>102</v>
      </c>
      <c r="B106" s="16" t="s">
        <v>103</v>
      </c>
      <c r="C106" s="9"/>
      <c r="D106" s="9"/>
      <c r="E106" s="10"/>
      <c r="F106" s="17" t="s">
        <v>104</v>
      </c>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3">
    <mergeCell ref="A1:F1"/>
    <mergeCell ref="A3:F3"/>
    <mergeCell ref="A4:F10"/>
    <mergeCell ref="A12:F12"/>
    <mergeCell ref="A13:F30"/>
    <mergeCell ref="A32:F32"/>
    <mergeCell ref="A33:F50"/>
    <mergeCell ref="A52:F52"/>
    <mergeCell ref="A53:F70"/>
    <mergeCell ref="A72:F72"/>
    <mergeCell ref="B73:F73"/>
    <mergeCell ref="B74:F74"/>
    <mergeCell ref="B75:F75"/>
    <mergeCell ref="B76:F76"/>
    <mergeCell ref="B77:F77"/>
    <mergeCell ref="B78:F78"/>
    <mergeCell ref="B79:F79"/>
    <mergeCell ref="B80:F80"/>
    <mergeCell ref="B81:F81"/>
    <mergeCell ref="B82:F82"/>
    <mergeCell ref="B83:F83"/>
    <mergeCell ref="A85:F85"/>
    <mergeCell ref="B86:E86"/>
    <mergeCell ref="B87:E87"/>
    <mergeCell ref="B88:E88"/>
    <mergeCell ref="B89:E89"/>
    <mergeCell ref="B90:E90"/>
    <mergeCell ref="B91:E91"/>
    <mergeCell ref="B99:E99"/>
    <mergeCell ref="B100:E100"/>
    <mergeCell ref="B101:E101"/>
    <mergeCell ref="B102:E102"/>
    <mergeCell ref="B103:E103"/>
    <mergeCell ref="B104:E104"/>
    <mergeCell ref="B105:E105"/>
    <mergeCell ref="B106:E106"/>
    <mergeCell ref="B92:E92"/>
    <mergeCell ref="B93:E93"/>
    <mergeCell ref="B94:E94"/>
    <mergeCell ref="B95:E95"/>
    <mergeCell ref="B96:E96"/>
    <mergeCell ref="B97:E97"/>
    <mergeCell ref="B98:E98"/>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8.0"/>
    <col customWidth="1" min="3" max="3" width="12.0"/>
    <col customWidth="1" min="4" max="4" width="30.0"/>
    <col customWidth="1" min="5" max="6" width="10.0"/>
    <col customWidth="1" min="7" max="7" width="12.0"/>
    <col customWidth="1" min="8" max="10" width="10.0"/>
    <col customWidth="1" min="11" max="26" width="8.71"/>
  </cols>
  <sheetData>
    <row r="1">
      <c r="A1" s="18" t="s">
        <v>105</v>
      </c>
    </row>
    <row r="3">
      <c r="A3" s="8" t="s">
        <v>106</v>
      </c>
      <c r="B3" s="9"/>
      <c r="C3" s="9"/>
      <c r="D3" s="10"/>
      <c r="E3" s="8" t="s">
        <v>107</v>
      </c>
      <c r="F3" s="9"/>
      <c r="G3" s="9"/>
      <c r="H3" s="9"/>
      <c r="I3" s="9"/>
      <c r="J3" s="10"/>
    </row>
    <row r="4">
      <c r="A4" s="13" t="s">
        <v>108</v>
      </c>
      <c r="B4" s="13" t="s">
        <v>109</v>
      </c>
      <c r="C4" s="13" t="s">
        <v>110</v>
      </c>
      <c r="D4" s="13" t="s">
        <v>111</v>
      </c>
      <c r="E4" s="13" t="s">
        <v>112</v>
      </c>
      <c r="F4" s="13" t="s">
        <v>113</v>
      </c>
      <c r="G4" s="13" t="s">
        <v>114</v>
      </c>
      <c r="H4" s="13" t="s">
        <v>115</v>
      </c>
      <c r="I4" s="13" t="s">
        <v>116</v>
      </c>
      <c r="J4" s="13" t="s">
        <v>117</v>
      </c>
    </row>
    <row r="5">
      <c r="A5" s="19" t="s">
        <v>118</v>
      </c>
      <c r="B5" s="19" t="s">
        <v>51</v>
      </c>
      <c r="C5" s="20" t="s">
        <v>119</v>
      </c>
      <c r="D5" s="20" t="s">
        <v>120</v>
      </c>
      <c r="E5" s="20" t="s">
        <v>121</v>
      </c>
      <c r="F5" s="20"/>
      <c r="G5" s="20"/>
      <c r="H5" s="20"/>
      <c r="I5" s="20" t="s">
        <v>121</v>
      </c>
      <c r="J5" s="20"/>
    </row>
    <row r="6">
      <c r="A6" s="19" t="s">
        <v>122</v>
      </c>
      <c r="B6" s="19" t="s">
        <v>123</v>
      </c>
      <c r="C6" s="19" t="s">
        <v>124</v>
      </c>
      <c r="D6" s="19" t="s">
        <v>125</v>
      </c>
      <c r="E6" s="20" t="s">
        <v>121</v>
      </c>
      <c r="F6" s="20" t="s">
        <v>121</v>
      </c>
      <c r="G6" s="20"/>
      <c r="H6" s="20"/>
      <c r="I6" s="20" t="s">
        <v>121</v>
      </c>
      <c r="J6" s="20"/>
    </row>
    <row r="7">
      <c r="A7" s="19" t="s">
        <v>126</v>
      </c>
      <c r="B7" s="19" t="s">
        <v>69</v>
      </c>
      <c r="C7" s="19" t="s">
        <v>127</v>
      </c>
      <c r="D7" s="19" t="s">
        <v>128</v>
      </c>
      <c r="E7" s="19" t="s">
        <v>121</v>
      </c>
      <c r="F7" s="20"/>
      <c r="G7" s="20"/>
      <c r="H7" s="20"/>
      <c r="I7" s="20"/>
      <c r="J7" s="20"/>
    </row>
    <row r="8">
      <c r="A8" s="19" t="s">
        <v>129</v>
      </c>
      <c r="B8" s="19" t="s">
        <v>130</v>
      </c>
      <c r="C8" s="19" t="s">
        <v>127</v>
      </c>
      <c r="D8" s="19" t="s">
        <v>128</v>
      </c>
      <c r="E8" s="19" t="s">
        <v>121</v>
      </c>
      <c r="F8" s="20"/>
      <c r="G8" s="20"/>
      <c r="H8" s="20"/>
      <c r="I8" s="20"/>
      <c r="J8" s="20"/>
    </row>
    <row r="9">
      <c r="A9" s="19" t="s">
        <v>131</v>
      </c>
      <c r="B9" s="19" t="s">
        <v>132</v>
      </c>
      <c r="C9" s="19" t="s">
        <v>127</v>
      </c>
      <c r="D9" s="19" t="s">
        <v>133</v>
      </c>
      <c r="E9" s="20"/>
      <c r="F9" s="20"/>
      <c r="G9" s="20"/>
      <c r="H9" s="20"/>
      <c r="I9" s="20"/>
      <c r="J9" s="20" t="s">
        <v>121</v>
      </c>
    </row>
    <row r="10">
      <c r="A10" s="19" t="s">
        <v>134</v>
      </c>
      <c r="B10" s="19" t="s">
        <v>135</v>
      </c>
      <c r="C10" s="19" t="s">
        <v>127</v>
      </c>
      <c r="D10" s="19" t="s">
        <v>136</v>
      </c>
      <c r="E10" s="20"/>
      <c r="F10" s="20"/>
      <c r="G10" s="20"/>
      <c r="H10" s="20"/>
      <c r="I10" s="20"/>
      <c r="J10" s="20" t="s">
        <v>121</v>
      </c>
    </row>
    <row r="11">
      <c r="A11" s="19" t="s">
        <v>137</v>
      </c>
      <c r="B11" s="19" t="s">
        <v>138</v>
      </c>
      <c r="C11" s="19" t="s">
        <v>139</v>
      </c>
      <c r="D11" s="19" t="s">
        <v>140</v>
      </c>
      <c r="E11" s="20" t="s">
        <v>121</v>
      </c>
      <c r="F11" s="20" t="s">
        <v>121</v>
      </c>
      <c r="G11" s="20"/>
      <c r="H11" s="20" t="s">
        <v>121</v>
      </c>
      <c r="I11" s="20"/>
      <c r="J11" s="20" t="s">
        <v>121</v>
      </c>
    </row>
    <row r="12">
      <c r="A12" s="19" t="s">
        <v>141</v>
      </c>
      <c r="B12" s="19" t="s">
        <v>142</v>
      </c>
      <c r="C12" s="19" t="s">
        <v>143</v>
      </c>
      <c r="D12" s="19" t="s">
        <v>144</v>
      </c>
      <c r="E12" s="20" t="s">
        <v>121</v>
      </c>
      <c r="F12" s="20" t="s">
        <v>121</v>
      </c>
      <c r="G12" s="20"/>
      <c r="H12" s="20" t="s">
        <v>121</v>
      </c>
      <c r="I12" s="20"/>
      <c r="J12" s="20"/>
      <c r="M12" s="21"/>
    </row>
    <row r="13">
      <c r="A13" s="20" t="s">
        <v>145</v>
      </c>
      <c r="B13" s="20" t="s">
        <v>146</v>
      </c>
      <c r="C13" s="20" t="s">
        <v>124</v>
      </c>
      <c r="D13" s="20" t="s">
        <v>147</v>
      </c>
      <c r="E13" s="20"/>
      <c r="F13" s="20" t="s">
        <v>121</v>
      </c>
      <c r="G13" s="20" t="s">
        <v>121</v>
      </c>
      <c r="H13" s="20"/>
      <c r="I13" s="20" t="s">
        <v>121</v>
      </c>
      <c r="J13" s="20"/>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sheetData>
  <mergeCells count="3">
    <mergeCell ref="A1:J1"/>
    <mergeCell ref="A3:D3"/>
    <mergeCell ref="E3:J3"/>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5.0"/>
    <col customWidth="1" min="3" max="5" width="12.0"/>
    <col customWidth="1" min="6" max="6" width="15.0"/>
    <col customWidth="1" min="7" max="7" width="8.0"/>
    <col customWidth="1" min="8" max="8" width="10.0"/>
    <col customWidth="1" min="9" max="9" width="20.0"/>
    <col customWidth="1" min="10" max="26" width="8.71"/>
  </cols>
  <sheetData>
    <row r="1">
      <c r="A1" s="18" t="s">
        <v>148</v>
      </c>
    </row>
    <row r="3">
      <c r="A3" s="12" t="s">
        <v>149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c r="A43" s="8" t="s">
        <v>150</v>
      </c>
      <c r="B43" s="9"/>
      <c r="C43" s="9"/>
      <c r="D43" s="9"/>
      <c r="E43" s="9"/>
      <c r="F43" s="9"/>
      <c r="G43" s="9"/>
      <c r="H43" s="9"/>
      <c r="I43" s="10"/>
    </row>
    <row r="44" ht="15.75" customHeight="1">
      <c r="A44" s="13" t="s">
        <v>151</v>
      </c>
      <c r="B44" s="13" t="s">
        <v>152</v>
      </c>
      <c r="C44" s="13" t="s">
        <v>153</v>
      </c>
      <c r="D44" s="13" t="s">
        <v>154</v>
      </c>
      <c r="E44" s="13" t="s">
        <v>155</v>
      </c>
      <c r="F44" s="13" t="s">
        <v>156</v>
      </c>
      <c r="G44" s="13" t="s">
        <v>157</v>
      </c>
      <c r="H44" s="13" t="s">
        <v>158</v>
      </c>
      <c r="I44" s="13" t="s">
        <v>159</v>
      </c>
    </row>
    <row r="45" ht="15.75" customHeight="1">
      <c r="A45" s="15" t="s">
        <v>160</v>
      </c>
      <c r="B45" s="15" t="s">
        <v>138</v>
      </c>
      <c r="C45" s="15" t="s">
        <v>161</v>
      </c>
      <c r="D45" s="15" t="s">
        <v>162</v>
      </c>
      <c r="E45" s="15" t="s">
        <v>163</v>
      </c>
      <c r="F45" s="15" t="s">
        <v>164</v>
      </c>
      <c r="G45" s="22" t="s">
        <v>121</v>
      </c>
      <c r="H45" s="22" t="s">
        <v>121</v>
      </c>
      <c r="I45" s="15" t="s">
        <v>165</v>
      </c>
    </row>
    <row r="46" ht="15.75" customHeight="1">
      <c r="A46" s="15" t="s">
        <v>166</v>
      </c>
      <c r="B46" s="15" t="s">
        <v>167</v>
      </c>
      <c r="C46" s="15" t="s">
        <v>161</v>
      </c>
      <c r="D46" s="15" t="s">
        <v>162</v>
      </c>
      <c r="E46" s="15" t="s">
        <v>168</v>
      </c>
      <c r="F46" s="15" t="s">
        <v>164</v>
      </c>
      <c r="G46" s="22" t="s">
        <v>121</v>
      </c>
      <c r="H46" s="22" t="s">
        <v>121</v>
      </c>
      <c r="I46" s="15" t="s">
        <v>169</v>
      </c>
    </row>
    <row r="47" ht="15.75" customHeight="1">
      <c r="A47" s="15" t="s">
        <v>170</v>
      </c>
      <c r="B47" s="15" t="s">
        <v>171</v>
      </c>
      <c r="C47" s="15" t="s">
        <v>69</v>
      </c>
      <c r="D47" s="15" t="s">
        <v>162</v>
      </c>
      <c r="E47" s="15" t="s">
        <v>172</v>
      </c>
      <c r="F47" s="15" t="s">
        <v>173</v>
      </c>
      <c r="G47" s="22" t="s">
        <v>121</v>
      </c>
      <c r="H47" s="22" t="s">
        <v>121</v>
      </c>
      <c r="I47" s="15" t="s">
        <v>174</v>
      </c>
    </row>
    <row r="48" ht="15.75" customHeight="1">
      <c r="A48" s="15" t="s">
        <v>175</v>
      </c>
      <c r="B48" s="15" t="s">
        <v>176</v>
      </c>
      <c r="C48" s="15" t="s">
        <v>162</v>
      </c>
      <c r="D48" s="15" t="s">
        <v>69</v>
      </c>
      <c r="E48" s="15" t="s">
        <v>177</v>
      </c>
      <c r="F48" s="15" t="s">
        <v>102</v>
      </c>
      <c r="G48" s="22" t="s">
        <v>121</v>
      </c>
      <c r="H48" s="15"/>
      <c r="I48" s="15" t="s">
        <v>178</v>
      </c>
    </row>
    <row r="49" ht="15.75" customHeight="1">
      <c r="A49" s="15" t="s">
        <v>179</v>
      </c>
      <c r="B49" s="15" t="s">
        <v>180</v>
      </c>
      <c r="C49" s="15" t="s">
        <v>181</v>
      </c>
      <c r="D49" s="15" t="s">
        <v>162</v>
      </c>
      <c r="E49" s="15" t="s">
        <v>182</v>
      </c>
      <c r="F49" s="15" t="s">
        <v>183</v>
      </c>
      <c r="G49" s="15"/>
      <c r="H49" s="22" t="s">
        <v>121</v>
      </c>
      <c r="I49" s="15" t="s">
        <v>184</v>
      </c>
    </row>
    <row r="50" ht="15.75" customHeight="1">
      <c r="A50" s="15" t="s">
        <v>185</v>
      </c>
      <c r="B50" s="15" t="s">
        <v>186</v>
      </c>
      <c r="C50" s="15" t="s">
        <v>181</v>
      </c>
      <c r="D50" s="15" t="s">
        <v>162</v>
      </c>
      <c r="E50" s="15" t="s">
        <v>187</v>
      </c>
      <c r="F50" s="15" t="s">
        <v>188</v>
      </c>
      <c r="G50" s="15"/>
      <c r="H50" s="22" t="s">
        <v>121</v>
      </c>
      <c r="I50" s="15" t="s">
        <v>189</v>
      </c>
    </row>
    <row r="51" ht="15.75" customHeight="1">
      <c r="A51" s="15" t="s">
        <v>190</v>
      </c>
      <c r="B51" s="15" t="s">
        <v>191</v>
      </c>
      <c r="C51" s="15" t="s">
        <v>192</v>
      </c>
      <c r="D51" s="15" t="s">
        <v>193</v>
      </c>
      <c r="E51" s="15" t="s">
        <v>194</v>
      </c>
      <c r="F51" s="15" t="s">
        <v>195</v>
      </c>
      <c r="G51" s="15"/>
      <c r="H51" s="22" t="s">
        <v>121</v>
      </c>
      <c r="I51" s="15" t="s">
        <v>196</v>
      </c>
    </row>
    <row r="52" ht="15.75" customHeight="1">
      <c r="A52" s="15" t="s">
        <v>197</v>
      </c>
      <c r="B52" s="15" t="s">
        <v>198</v>
      </c>
      <c r="C52" s="15" t="s">
        <v>193</v>
      </c>
      <c r="D52" s="15" t="s">
        <v>192</v>
      </c>
      <c r="E52" s="15" t="s">
        <v>199</v>
      </c>
      <c r="F52" s="15" t="s">
        <v>195</v>
      </c>
      <c r="G52" s="15"/>
      <c r="H52" s="15"/>
      <c r="I52" s="15" t="s">
        <v>200</v>
      </c>
    </row>
    <row r="53" ht="15.75" customHeight="1">
      <c r="A53" s="15" t="s">
        <v>201</v>
      </c>
      <c r="B53" s="15" t="s">
        <v>202</v>
      </c>
      <c r="C53" s="15" t="s">
        <v>193</v>
      </c>
      <c r="D53" s="15" t="s">
        <v>203</v>
      </c>
      <c r="E53" s="15" t="s">
        <v>204</v>
      </c>
      <c r="F53" s="15" t="s">
        <v>205</v>
      </c>
      <c r="G53" s="15"/>
      <c r="H53" s="22" t="s">
        <v>121</v>
      </c>
      <c r="I53" s="15" t="s">
        <v>206</v>
      </c>
    </row>
    <row r="54" ht="15.75" customHeight="1">
      <c r="A54" s="15" t="s">
        <v>207</v>
      </c>
      <c r="B54" s="15" t="s">
        <v>208</v>
      </c>
      <c r="C54" s="15" t="s">
        <v>203</v>
      </c>
      <c r="D54" s="15" t="s">
        <v>193</v>
      </c>
      <c r="E54" s="15" t="s">
        <v>204</v>
      </c>
      <c r="F54" s="15" t="s">
        <v>75</v>
      </c>
      <c r="G54" s="15"/>
      <c r="H54" s="15"/>
      <c r="I54" s="15" t="s">
        <v>209</v>
      </c>
    </row>
    <row r="55" ht="15.75" customHeight="1">
      <c r="A55" s="15" t="s">
        <v>210</v>
      </c>
      <c r="B55" s="15" t="s">
        <v>211</v>
      </c>
      <c r="C55" s="15" t="s">
        <v>212</v>
      </c>
      <c r="D55" s="15" t="s">
        <v>162</v>
      </c>
      <c r="E55" s="15" t="s">
        <v>213</v>
      </c>
      <c r="F55" s="15" t="s">
        <v>214</v>
      </c>
      <c r="G55" s="15"/>
      <c r="H55" s="15"/>
      <c r="I55" s="15" t="s">
        <v>215</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I1"/>
    <mergeCell ref="A3:I40"/>
    <mergeCell ref="A43:I43"/>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6" width="117.43"/>
    <col customWidth="1" min="7" max="26" width="8.71"/>
  </cols>
  <sheetData>
    <row r="1">
      <c r="A1" s="18" t="s">
        <v>216</v>
      </c>
    </row>
    <row r="3">
      <c r="A3" s="8" t="s">
        <v>217</v>
      </c>
      <c r="B3" s="9"/>
      <c r="C3" s="9"/>
      <c r="D3" s="9"/>
      <c r="E3" s="9"/>
      <c r="F3" s="10"/>
    </row>
    <row r="4">
      <c r="A4" s="12" t="s">
        <v>218</v>
      </c>
    </row>
    <row r="21" ht="15.75" customHeight="1"/>
    <row r="22" ht="15.75" customHeight="1"/>
    <row r="23" ht="15.75" customHeight="1"/>
    <row r="24" ht="15.75" customHeight="1">
      <c r="A24" s="8" t="s">
        <v>219</v>
      </c>
      <c r="B24" s="9"/>
      <c r="C24" s="9"/>
      <c r="D24" s="9"/>
      <c r="E24" s="9"/>
      <c r="F24" s="10"/>
    </row>
    <row r="25" ht="15.75" customHeight="1">
      <c r="A25" s="12" t="s">
        <v>220</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c r="A45" s="8" t="s">
        <v>221</v>
      </c>
      <c r="B45" s="9"/>
      <c r="C45" s="9"/>
      <c r="D45" s="9"/>
      <c r="E45" s="9"/>
      <c r="F45" s="10"/>
    </row>
    <row r="46" ht="15.75" customHeight="1">
      <c r="A46" s="12" t="s">
        <v>222</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c r="A66" s="8" t="s">
        <v>223</v>
      </c>
      <c r="B66" s="9"/>
      <c r="C66" s="9"/>
      <c r="D66" s="9"/>
      <c r="E66" s="9"/>
      <c r="F66" s="10"/>
    </row>
    <row r="67" ht="15.75" customHeight="1">
      <c r="A67" s="12" t="s">
        <v>224</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9">
    <mergeCell ref="A66:F66"/>
    <mergeCell ref="A67:F85"/>
    <mergeCell ref="A1:F1"/>
    <mergeCell ref="A3:F3"/>
    <mergeCell ref="A4:F22"/>
    <mergeCell ref="A24:F24"/>
    <mergeCell ref="A25:F43"/>
    <mergeCell ref="A45:F45"/>
    <mergeCell ref="A46:F64"/>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12.0"/>
    <col customWidth="1" min="3" max="5" width="10.0"/>
    <col customWidth="1" min="6" max="6" width="14.86"/>
    <col customWidth="1" min="7" max="7" width="27.0"/>
    <col customWidth="1" min="8" max="8" width="12.29"/>
    <col customWidth="1" min="9" max="9" width="53.86"/>
    <col customWidth="1" min="10" max="10" width="82.29"/>
    <col customWidth="1" min="11" max="12" width="10.0"/>
    <col customWidth="1" min="13" max="13" width="7.57"/>
    <col customWidth="1" min="14" max="14" width="10.0"/>
    <col customWidth="1" min="15" max="15" width="7.71"/>
    <col customWidth="1" min="16" max="16" width="10.0"/>
    <col customWidth="1" min="17" max="17" width="8.0"/>
    <col customWidth="1" min="18" max="18" width="10.0"/>
    <col customWidth="1" min="19" max="19" width="7.86"/>
    <col customWidth="1" min="20" max="20" width="8.0"/>
    <col customWidth="1" min="21" max="21" width="10.0"/>
    <col customWidth="1" min="22" max="22" width="14.0"/>
    <col customWidth="1" min="23" max="23" width="18.0"/>
    <col customWidth="1" min="24" max="24" width="6.0"/>
    <col customWidth="1" min="25" max="25" width="14.0"/>
    <col customWidth="1" min="26" max="26" width="28.0"/>
    <col customWidth="1" min="27" max="27" width="6.0"/>
    <col customWidth="1" min="28" max="28" width="14.0"/>
    <col customWidth="1" min="29" max="29" width="12.0"/>
    <col customWidth="1" min="30" max="30" width="6.0"/>
    <col customWidth="1" min="31" max="31" width="14.0"/>
    <col customWidth="1" min="32" max="32" width="23.71"/>
    <col customWidth="1" min="33" max="33" width="6.0"/>
    <col customWidth="1" min="34" max="34" width="8.0"/>
    <col customWidth="1" min="35" max="36" width="10.0"/>
    <col customWidth="1" min="37" max="37" width="12.0"/>
    <col customWidth="1" min="38" max="38" width="18.0"/>
    <col customWidth="1" min="39" max="39" width="25.0"/>
    <col customWidth="1" min="40" max="40" width="12.0"/>
  </cols>
  <sheetData>
    <row r="1">
      <c r="A1" s="18" t="s">
        <v>225</v>
      </c>
    </row>
    <row r="3">
      <c r="A3" s="23" t="s">
        <v>226</v>
      </c>
      <c r="B3" s="9"/>
      <c r="C3" s="9"/>
      <c r="D3" s="9"/>
      <c r="E3" s="9"/>
      <c r="F3" s="10"/>
      <c r="G3" s="8" t="s">
        <v>227</v>
      </c>
      <c r="H3" s="9"/>
      <c r="I3" s="9"/>
      <c r="J3" s="9"/>
      <c r="K3" s="10"/>
      <c r="L3" s="8" t="s">
        <v>228</v>
      </c>
      <c r="M3" s="9"/>
      <c r="N3" s="9"/>
      <c r="O3" s="9"/>
      <c r="P3" s="9"/>
      <c r="Q3" s="9"/>
      <c r="R3" s="9"/>
      <c r="S3" s="9"/>
      <c r="T3" s="9"/>
      <c r="U3" s="10"/>
      <c r="V3" s="8" t="s">
        <v>229</v>
      </c>
      <c r="W3" s="9"/>
      <c r="X3" s="9"/>
      <c r="Y3" s="9"/>
      <c r="Z3" s="9"/>
      <c r="AA3" s="9"/>
      <c r="AB3" s="9"/>
      <c r="AC3" s="9"/>
      <c r="AD3" s="9"/>
      <c r="AE3" s="9"/>
      <c r="AF3" s="9"/>
      <c r="AG3" s="9"/>
      <c r="AH3" s="9"/>
      <c r="AI3" s="10"/>
      <c r="AJ3" s="24" t="s">
        <v>230</v>
      </c>
      <c r="AK3" s="24" t="s">
        <v>231</v>
      </c>
      <c r="AL3" s="8" t="s">
        <v>232</v>
      </c>
      <c r="AM3" s="9"/>
      <c r="AN3" s="10"/>
    </row>
    <row r="4">
      <c r="A4" s="25" t="s">
        <v>233</v>
      </c>
      <c r="B4" s="25" t="s">
        <v>234</v>
      </c>
      <c r="C4" s="26" t="s">
        <v>235</v>
      </c>
      <c r="D4" s="9"/>
      <c r="E4" s="10"/>
      <c r="F4" s="25" t="s">
        <v>236</v>
      </c>
      <c r="G4" s="27" t="s">
        <v>237</v>
      </c>
      <c r="H4" s="27" t="s">
        <v>238</v>
      </c>
      <c r="I4" s="27" t="s">
        <v>239</v>
      </c>
      <c r="J4" s="27" t="s">
        <v>240</v>
      </c>
      <c r="K4" s="25" t="s">
        <v>241</v>
      </c>
      <c r="L4" s="14" t="s">
        <v>242</v>
      </c>
      <c r="M4" s="10"/>
      <c r="N4" s="14" t="s">
        <v>243</v>
      </c>
      <c r="O4" s="10"/>
      <c r="P4" s="14" t="s">
        <v>244</v>
      </c>
      <c r="Q4" s="10"/>
      <c r="R4" s="14" t="s">
        <v>245</v>
      </c>
      <c r="S4" s="10"/>
      <c r="T4" s="14" t="s">
        <v>246</v>
      </c>
      <c r="U4" s="10"/>
      <c r="V4" s="14" t="s">
        <v>247</v>
      </c>
      <c r="W4" s="9"/>
      <c r="X4" s="10"/>
      <c r="Y4" s="14" t="s">
        <v>248</v>
      </c>
      <c r="Z4" s="9"/>
      <c r="AA4" s="10"/>
      <c r="AB4" s="14" t="s">
        <v>249</v>
      </c>
      <c r="AC4" s="9"/>
      <c r="AD4" s="10"/>
      <c r="AE4" s="14" t="s">
        <v>250</v>
      </c>
      <c r="AF4" s="9"/>
      <c r="AG4" s="10"/>
      <c r="AH4" s="14" t="s">
        <v>251</v>
      </c>
      <c r="AI4" s="10"/>
      <c r="AJ4" s="27" t="s">
        <v>252</v>
      </c>
      <c r="AK4" s="27" t="s">
        <v>253</v>
      </c>
      <c r="AL4" s="27" t="s">
        <v>254</v>
      </c>
      <c r="AM4" s="27" t="s">
        <v>255</v>
      </c>
      <c r="AN4" s="28" t="s">
        <v>256</v>
      </c>
    </row>
    <row r="5">
      <c r="A5" s="29"/>
      <c r="B5" s="29"/>
      <c r="C5" s="28" t="s">
        <v>257</v>
      </c>
      <c r="D5" s="28" t="s">
        <v>258</v>
      </c>
      <c r="E5" s="28" t="s">
        <v>259</v>
      </c>
      <c r="F5" s="29"/>
      <c r="G5" s="29"/>
      <c r="H5" s="29"/>
      <c r="I5" s="29"/>
      <c r="J5" s="29"/>
      <c r="K5" s="30" t="s">
        <v>260</v>
      </c>
      <c r="L5" s="31" t="s">
        <v>261</v>
      </c>
      <c r="M5" s="32" t="s">
        <v>262</v>
      </c>
      <c r="N5" s="32" t="s">
        <v>263</v>
      </c>
      <c r="O5" s="32" t="s">
        <v>262</v>
      </c>
      <c r="P5" s="32" t="s">
        <v>264</v>
      </c>
      <c r="Q5" s="32" t="s">
        <v>262</v>
      </c>
      <c r="R5" s="32" t="s">
        <v>264</v>
      </c>
      <c r="S5" s="32" t="s">
        <v>262</v>
      </c>
      <c r="T5" s="32" t="s">
        <v>265</v>
      </c>
      <c r="U5" s="32" t="s">
        <v>264</v>
      </c>
      <c r="V5" s="32" t="s">
        <v>263</v>
      </c>
      <c r="W5" s="32" t="s">
        <v>266</v>
      </c>
      <c r="X5" s="32" t="s">
        <v>262</v>
      </c>
      <c r="Y5" s="32" t="s">
        <v>263</v>
      </c>
      <c r="Z5" s="32" t="s">
        <v>266</v>
      </c>
      <c r="AA5" s="32" t="s">
        <v>262</v>
      </c>
      <c r="AB5" s="32" t="s">
        <v>263</v>
      </c>
      <c r="AC5" s="32" t="s">
        <v>266</v>
      </c>
      <c r="AD5" s="32" t="s">
        <v>262</v>
      </c>
      <c r="AE5" s="32" t="s">
        <v>263</v>
      </c>
      <c r="AF5" s="32" t="s">
        <v>266</v>
      </c>
      <c r="AG5" s="32" t="s">
        <v>262</v>
      </c>
      <c r="AH5" s="32" t="s">
        <v>267</v>
      </c>
      <c r="AI5" s="32" t="s">
        <v>268</v>
      </c>
      <c r="AJ5" s="29"/>
      <c r="AK5" s="29"/>
      <c r="AL5" s="29"/>
      <c r="AM5" s="29"/>
      <c r="AN5" s="31" t="s">
        <v>269</v>
      </c>
    </row>
    <row r="6" ht="15.75" customHeight="1">
      <c r="A6" s="33" t="s">
        <v>118</v>
      </c>
      <c r="B6" s="33" t="s">
        <v>270</v>
      </c>
      <c r="C6" s="33" t="s">
        <v>271</v>
      </c>
      <c r="D6" s="33" t="s">
        <v>272</v>
      </c>
      <c r="E6" s="33" t="s">
        <v>51</v>
      </c>
      <c r="F6" s="33" t="s">
        <v>119</v>
      </c>
      <c r="G6" s="33" t="s">
        <v>273</v>
      </c>
      <c r="H6" s="34" t="s">
        <v>274</v>
      </c>
      <c r="I6" s="34" t="s">
        <v>275</v>
      </c>
      <c r="J6" s="34" t="s">
        <v>276</v>
      </c>
      <c r="K6" s="33" t="s">
        <v>277</v>
      </c>
      <c r="L6" s="33" t="s">
        <v>278</v>
      </c>
      <c r="M6" s="33">
        <f t="shared" ref="M6:M21" si="1">IF(L6="网络",0.85,IF(L6="邻居",0.62,IF(L6="本地",0.55,IF(L6="物理",0.2))))</f>
        <v>0.55</v>
      </c>
      <c r="N6" s="33" t="s">
        <v>279</v>
      </c>
      <c r="O6" s="35">
        <f t="shared" ref="O6:O21" si="2">IF(N6="低",0.77,IF(N6="高",0.44))</f>
        <v>0.77</v>
      </c>
      <c r="P6" s="33" t="s">
        <v>279</v>
      </c>
      <c r="Q6" s="35">
        <f t="shared" ref="Q6:Q21" si="3">IF(P6="无",0.85,IF(P6="低",0.62,IF(P6="高",0.27)))</f>
        <v>0.62</v>
      </c>
      <c r="R6" s="33" t="s">
        <v>280</v>
      </c>
      <c r="S6" s="35">
        <f t="shared" ref="S6:S21" si="4">IF(R6="不需要",0.85,IF(R6="需要",0.62))</f>
        <v>0.85</v>
      </c>
      <c r="T6" s="35">
        <f t="shared" ref="T6:T21" si="5">8.22*M6*O6*Q6*S6</f>
        <v>1.83457659</v>
      </c>
      <c r="U6" s="35" t="str">
        <f t="shared" ref="U6:U21" si="6">IF(T6&lt;=1.05,"很低",IF(T6&lt;=1.99,"低",IF(T6&lt;=2.95,"中",IF(T6&lt;=3.89,"高"))))</f>
        <v>低</v>
      </c>
      <c r="V6" s="33" t="s">
        <v>281</v>
      </c>
      <c r="W6" s="35" t="str">
        <f t="shared" ref="W6:W21" si="7">IF(V6="可忽略不计的","没有受伤",IF(V6="中等的","轻度和中度伤害",IF(V6="重大的","重伤和生命危险（可能幸存）",IF(V6="严重的","威胁生命的伤害（尚不确定生存），致命伤害"))))</f>
        <v>轻度和中度伤害</v>
      </c>
      <c r="X6" s="35">
        <f t="shared" ref="X6:X21" si="8">IF(V6="可忽略不计的",0,IF(V6="中等的",10,IF(V6="重大的",100,IF(V6="严重的",1000))))</f>
        <v>10</v>
      </c>
      <c r="Y6" s="33" t="s">
        <v>281</v>
      </c>
      <c r="Z6" s="36" t="str">
        <f t="shared" ref="Z6:Z21" si="9">IF(Y6="可忽略不计的","财务损失不会产生任何影响，可忽略给后果或与利益相关者无关",IF(Y6="中等的","经济损失会带来不便的后果，受影响的利益相关者将能够用有限的资源来克服这些后果",IF(Y6="重大的","经济损失导致重大后果，受影响的利益相关者将能够克服",IF(Y6="严重的","经济损失导致灾难性后果，受影响的利益相关者可能无法克服"))))</f>
        <v>经济损失会带来不便的后果，受影响的利益相关者将能够用有限的资源来克服这些后果</v>
      </c>
      <c r="AA6" s="35" t="str">
        <f t="shared" ref="AA6:AA21" si="10">IF(Y6="可忽略不计的",0,IF(Y6="中等的","10",IF(Y6="重大的",100,IF(Y6="严重的",1000))))</f>
        <v>10</v>
      </c>
      <c r="AB6" s="33" t="s">
        <v>282</v>
      </c>
      <c r="AC6" s="36" t="str">
        <f t="shared" ref="AC6:AC21" si="11">IF(AB6="可忽略不计的","操作损坏不会导致车辆功能或性能下降，也不会导致性能下降",IF(AB6="中等的","操作损坏会导致车辆功能或性能的部分下降",IF(AB6="重大的","操作损坏导致车辆功能丧失",IF(AB6="严重的","操作损坏导致车辆从不希望的运行到无法运行的所有车辆不工作"))))</f>
        <v>操作损坏导致车辆功能丧失</v>
      </c>
      <c r="AD6" s="35">
        <f t="shared" ref="AD6:AD21" si="12">IF(AB6="可忽略不计的",0,IF(AB6="中等的",1,IF(AB6="重大的",10,IF(AB6="严重的",100))))</f>
        <v>10</v>
      </c>
      <c r="AE6" s="33" t="s">
        <v>283</v>
      </c>
      <c r="AF6" s="36" t="str">
        <f t="shared" ref="AF6:AF21" si="13">IF(AE6="可忽略不计的","隐私危害不会产生任何影响,也不会给道路使用者带来不便",IF(AE6="中等的","隐私危害给道路使用者带来极大的不便",IF(AE6="重大的","隐私危害会严重影响道路使用者",IF(AE6="严重的","隐私危害对道路使用者造成重大甚至不可逆转的影响"))))</f>
        <v>隐私危害不会产生任何影响,也不会给道路使用者带来不便</v>
      </c>
      <c r="AG6" s="35">
        <f t="shared" ref="AG6:AG21" si="14">IF(AE6="可忽略不计的",0,IF(AE6="中等的",1,IF(AE6="重大的",10,IF(AE6="严重的",100))))</f>
        <v>0</v>
      </c>
      <c r="AH6" s="35">
        <f t="shared" ref="AH6:AH21" si="15">SUM(X6+AA6+AD6+AG6)</f>
        <v>30</v>
      </c>
      <c r="AI6" s="35" t="str">
        <f t="shared" ref="AI6:AI21" si="16">IF(AH6&gt;=1000,"严重的",IF(AH6&gt;=100,"重大的",IF(AH6&gt;=20,"中等的",IF(AH6&gt;=10,"微不足道","无影响"))))</f>
        <v>中等的</v>
      </c>
      <c r="AJ6" s="35" t="str">
        <f t="shared" ref="AJ6:AJ21" si="17">IF(AND(AI6="无影响",U6="无"),"QM",IF(AND(AI6="无影响",U6="很低"),"QM",IF(AND(AI6="无影响",U6="低"),"QM",IF(AND(AI6="无影响",U6="中"),"QM",IF(AND(AI6="无影响",U6="高"),"Low",IF(AND(AI6="微不足道",U6="无"),"QM",IF(AND(AI6="微不足道",U6="很低"),"Low",IF(AND(AI6="微不足道",U6="低"),"Low",IF(AND(AI6="微不足道",U6="中"),"Low",IF(AND(AI6="微不足道",U6="高"),"Medium",IF(AND(AI6="中等的",U6="无"),"QM",IF(AND(AI6="中等的",U6="很低"),"Low",IF(AND(AI6="中等的",U6="低"),"Medium",IF(AND(AI6="中等的",U6="中"),"Medium",IF(AND(AI6="中等的",U6="高"),"High",IF(AND(AI6="重大的",U6="无"),"QM",IF(AND(AI6="重大的",U6="很低"),"Low",IF(AND(AI6="重大的",U6="低"),"Medium",IF(AND(AI6="重大的",U6="中"),"High",IF(AND(AI6="重大的",U6="高"),"High",IF(AND(AI6="严重的",U6="无"),"Low",IF(AND(AI6="严重的",U6="很低"),"Medium",IF(AND(AI6="严重的",U6="低"),"High",IF(AND(AI6="严重的",U6="中"),"High",IF(AND(AI6="严重的",U6="高"),"Critical")))))))))))))))))))))))))</f>
        <v>Medium</v>
      </c>
      <c r="AK6" s="35" t="str">
        <f t="shared" ref="AK6:AK21" si="18">IF(OR(AJ6="QM",AJ6="Low"),"保留风险",IF(OR(AJ6="Medium",AJ6="Critical",AJ6="High"),"降低风险","保留风险"))</f>
        <v>降低风险</v>
      </c>
      <c r="AL6" s="35" t="str">
        <f t="shared" ref="AL6:AL21" si="19">IF(AK6="保留风险","/",IF(OR(AK6="降低风险",AK6="转移风险",AK6="消除风险"),"应保护"&amp;E6&amp;"的"&amp;G6,"NA"))</f>
        <v>应保护SOC的"Authenticity
真实性"</v>
      </c>
      <c r="AM6" s="34" t="s">
        <v>284</v>
      </c>
      <c r="AN6" s="35" t="str">
        <f t="shared" ref="AN6:AN21" si="20">IF(H6="T篡改","M10",IF(H6="D拒绝服务","M13",IF(H6="I信息泄露","M12"&amp;CHAR(10)&amp;"M24",IF(H6="S欺骗","M10"&amp;CHAR(10)&amp;"M11",IF(H6="E权限提升","M8"&amp;CHAR(10)&amp;"M9",IF(H6="R抵赖","M9"&amp;CHAR(10)&amp;"M10"))))))</f>
        <v>M10
M11</v>
      </c>
    </row>
    <row r="7" ht="15.75" customHeight="1">
      <c r="E7" s="33" t="s">
        <v>51</v>
      </c>
      <c r="G7" s="33" t="s">
        <v>285</v>
      </c>
      <c r="H7" s="34" t="s">
        <v>286</v>
      </c>
      <c r="I7" s="34" t="s">
        <v>287</v>
      </c>
      <c r="J7" s="34" t="s">
        <v>288</v>
      </c>
      <c r="K7" s="33" t="s">
        <v>289</v>
      </c>
      <c r="L7" s="33" t="s">
        <v>278</v>
      </c>
      <c r="M7" s="33">
        <f t="shared" si="1"/>
        <v>0.55</v>
      </c>
      <c r="N7" s="33" t="s">
        <v>279</v>
      </c>
      <c r="O7" s="35">
        <f t="shared" si="2"/>
        <v>0.77</v>
      </c>
      <c r="P7" s="33" t="s">
        <v>279</v>
      </c>
      <c r="Q7" s="35">
        <f t="shared" si="3"/>
        <v>0.62</v>
      </c>
      <c r="R7" s="33" t="s">
        <v>280</v>
      </c>
      <c r="S7" s="35">
        <f t="shared" si="4"/>
        <v>0.85</v>
      </c>
      <c r="T7" s="35">
        <f t="shared" si="5"/>
        <v>1.83457659</v>
      </c>
      <c r="U7" s="35" t="str">
        <f t="shared" si="6"/>
        <v>低</v>
      </c>
      <c r="V7" s="33" t="s">
        <v>283</v>
      </c>
      <c r="W7" s="35" t="str">
        <f t="shared" si="7"/>
        <v>没有受伤</v>
      </c>
      <c r="X7" s="35">
        <f t="shared" si="8"/>
        <v>0</v>
      </c>
      <c r="Y7" s="33" t="s">
        <v>281</v>
      </c>
      <c r="Z7" s="36" t="str">
        <f t="shared" si="9"/>
        <v>经济损失会带来不便的后果，受影响的利益相关者将能够用有限的资源来克服这些后果</v>
      </c>
      <c r="AA7" s="35" t="str">
        <f t="shared" si="10"/>
        <v>10</v>
      </c>
      <c r="AB7" s="33" t="s">
        <v>282</v>
      </c>
      <c r="AC7" s="36" t="str">
        <f t="shared" si="11"/>
        <v>操作损坏导致车辆功能丧失</v>
      </c>
      <c r="AD7" s="35">
        <f t="shared" si="12"/>
        <v>10</v>
      </c>
      <c r="AE7" s="33" t="s">
        <v>283</v>
      </c>
      <c r="AF7" s="36" t="str">
        <f t="shared" si="13"/>
        <v>隐私危害不会产生任何影响,也不会给道路使用者带来不便</v>
      </c>
      <c r="AG7" s="35">
        <f t="shared" si="14"/>
        <v>0</v>
      </c>
      <c r="AH7" s="35">
        <f t="shared" si="15"/>
        <v>20</v>
      </c>
      <c r="AI7" s="35" t="str">
        <f t="shared" si="16"/>
        <v>中等的</v>
      </c>
      <c r="AJ7" s="35" t="str">
        <f t="shared" si="17"/>
        <v>Medium</v>
      </c>
      <c r="AK7" s="35" t="str">
        <f t="shared" si="18"/>
        <v>降低风险</v>
      </c>
      <c r="AL7" s="35" t="str">
        <f t="shared" si="19"/>
        <v>应保护SOC的"Availability
可用性"</v>
      </c>
      <c r="AM7" s="34" t="s">
        <v>290</v>
      </c>
      <c r="AN7" s="35" t="str">
        <f t="shared" si="20"/>
        <v>M13</v>
      </c>
    </row>
    <row r="8" ht="15.75" customHeight="1">
      <c r="A8" s="37" t="s">
        <v>122</v>
      </c>
      <c r="B8" s="38" t="s">
        <v>270</v>
      </c>
      <c r="C8" s="38" t="s">
        <v>291</v>
      </c>
      <c r="D8" s="38" t="s">
        <v>292</v>
      </c>
      <c r="E8" s="38" t="s">
        <v>123</v>
      </c>
      <c r="F8" s="38" t="s">
        <v>124</v>
      </c>
      <c r="G8" s="38" t="s">
        <v>293</v>
      </c>
      <c r="H8" s="38" t="s">
        <v>274</v>
      </c>
      <c r="I8" s="38" t="s">
        <v>294</v>
      </c>
      <c r="J8" s="38" t="s">
        <v>295</v>
      </c>
      <c r="K8" s="38" t="s">
        <v>296</v>
      </c>
      <c r="L8" s="38" t="s">
        <v>278</v>
      </c>
      <c r="M8" s="33">
        <f t="shared" si="1"/>
        <v>0.55</v>
      </c>
      <c r="N8" s="38" t="s">
        <v>297</v>
      </c>
      <c r="O8" s="35">
        <f t="shared" si="2"/>
        <v>0.44</v>
      </c>
      <c r="P8" s="38" t="s">
        <v>279</v>
      </c>
      <c r="Q8" s="35">
        <f t="shared" si="3"/>
        <v>0.62</v>
      </c>
      <c r="R8" s="38" t="s">
        <v>280</v>
      </c>
      <c r="S8" s="35">
        <f t="shared" si="4"/>
        <v>0.85</v>
      </c>
      <c r="T8" s="35">
        <f t="shared" si="5"/>
        <v>1.04832948</v>
      </c>
      <c r="U8" s="35" t="str">
        <f t="shared" si="6"/>
        <v>很低</v>
      </c>
      <c r="V8" s="38" t="s">
        <v>281</v>
      </c>
      <c r="W8" s="35" t="str">
        <f t="shared" si="7"/>
        <v>轻度和中度伤害</v>
      </c>
      <c r="X8" s="35">
        <f t="shared" si="8"/>
        <v>10</v>
      </c>
      <c r="Y8" s="38" t="s">
        <v>281</v>
      </c>
      <c r="Z8" s="36" t="str">
        <f t="shared" si="9"/>
        <v>经济损失会带来不便的后果，受影响的利益相关者将能够用有限的资源来克服这些后果</v>
      </c>
      <c r="AA8" s="35" t="str">
        <f t="shared" si="10"/>
        <v>10</v>
      </c>
      <c r="AB8" s="38" t="s">
        <v>282</v>
      </c>
      <c r="AC8" s="36" t="str">
        <f t="shared" si="11"/>
        <v>操作损坏导致车辆功能丧失</v>
      </c>
      <c r="AD8" s="35">
        <f t="shared" si="12"/>
        <v>10</v>
      </c>
      <c r="AE8" s="38" t="s">
        <v>283</v>
      </c>
      <c r="AF8" s="36" t="str">
        <f t="shared" si="13"/>
        <v>隐私危害不会产生任何影响,也不会给道路使用者带来不便</v>
      </c>
      <c r="AG8" s="35">
        <f t="shared" si="14"/>
        <v>0</v>
      </c>
      <c r="AH8" s="35">
        <f t="shared" si="15"/>
        <v>30</v>
      </c>
      <c r="AI8" s="35" t="str">
        <f t="shared" si="16"/>
        <v>中等的</v>
      </c>
      <c r="AJ8" s="35" t="str">
        <f t="shared" si="17"/>
        <v>Low</v>
      </c>
      <c r="AK8" s="35" t="str">
        <f t="shared" si="18"/>
        <v>保留风险</v>
      </c>
      <c r="AL8" s="35" t="str">
        <f t="shared" si="19"/>
        <v>/</v>
      </c>
      <c r="AM8" s="39"/>
      <c r="AN8" s="35" t="str">
        <f t="shared" si="20"/>
        <v>M10
M11</v>
      </c>
    </row>
    <row r="9" ht="15.75" customHeight="1">
      <c r="E9" s="38" t="s">
        <v>123</v>
      </c>
      <c r="F9" s="38" t="s">
        <v>124</v>
      </c>
      <c r="G9" s="38" t="s">
        <v>298</v>
      </c>
      <c r="H9" s="38" t="s">
        <v>299</v>
      </c>
      <c r="I9" s="38" t="s">
        <v>300</v>
      </c>
      <c r="J9" s="38" t="s">
        <v>301</v>
      </c>
      <c r="K9" s="38" t="s">
        <v>302</v>
      </c>
      <c r="L9" s="38" t="s">
        <v>278</v>
      </c>
      <c r="M9" s="33">
        <f t="shared" si="1"/>
        <v>0.55</v>
      </c>
      <c r="N9" s="38" t="s">
        <v>279</v>
      </c>
      <c r="O9" s="35">
        <f t="shared" si="2"/>
        <v>0.77</v>
      </c>
      <c r="P9" s="38" t="s">
        <v>279</v>
      </c>
      <c r="Q9" s="35">
        <f t="shared" si="3"/>
        <v>0.62</v>
      </c>
      <c r="R9" s="38" t="s">
        <v>303</v>
      </c>
      <c r="S9" s="35">
        <f t="shared" si="4"/>
        <v>0.62</v>
      </c>
      <c r="T9" s="35">
        <f t="shared" si="5"/>
        <v>1.338161748</v>
      </c>
      <c r="U9" s="35" t="str">
        <f t="shared" si="6"/>
        <v>低</v>
      </c>
      <c r="V9" s="38" t="s">
        <v>283</v>
      </c>
      <c r="W9" s="35" t="str">
        <f t="shared" si="7"/>
        <v>没有受伤</v>
      </c>
      <c r="X9" s="35">
        <f t="shared" si="8"/>
        <v>0</v>
      </c>
      <c r="Y9" s="38" t="s">
        <v>281</v>
      </c>
      <c r="Z9" s="36" t="str">
        <f t="shared" si="9"/>
        <v>经济损失会带来不便的后果，受影响的利益相关者将能够用有限的资源来克服这些后果</v>
      </c>
      <c r="AA9" s="35" t="str">
        <f t="shared" si="10"/>
        <v>10</v>
      </c>
      <c r="AB9" s="38" t="s">
        <v>282</v>
      </c>
      <c r="AC9" s="36" t="str">
        <f t="shared" si="11"/>
        <v>操作损坏导致车辆功能丧失</v>
      </c>
      <c r="AD9" s="35">
        <f t="shared" si="12"/>
        <v>10</v>
      </c>
      <c r="AE9" s="38" t="s">
        <v>283</v>
      </c>
      <c r="AF9" s="36" t="str">
        <f t="shared" si="13"/>
        <v>隐私危害不会产生任何影响,也不会给道路使用者带来不便</v>
      </c>
      <c r="AG9" s="35">
        <f t="shared" si="14"/>
        <v>0</v>
      </c>
      <c r="AH9" s="35">
        <f t="shared" si="15"/>
        <v>20</v>
      </c>
      <c r="AI9" s="35" t="str">
        <f t="shared" si="16"/>
        <v>中等的</v>
      </c>
      <c r="AJ9" s="35" t="str">
        <f t="shared" si="17"/>
        <v>Medium</v>
      </c>
      <c r="AK9" s="35" t="str">
        <f t="shared" si="18"/>
        <v>降低风险</v>
      </c>
      <c r="AL9" s="35" t="str">
        <f t="shared" si="19"/>
        <v>应保护媒体源的"Integrity
完整性"</v>
      </c>
      <c r="AM9" s="38" t="s">
        <v>304</v>
      </c>
      <c r="AN9" s="35" t="str">
        <f t="shared" si="20"/>
        <v>M10</v>
      </c>
    </row>
    <row r="10" ht="15.75" customHeight="1">
      <c r="E10" s="38" t="s">
        <v>123</v>
      </c>
      <c r="F10" s="38" t="s">
        <v>124</v>
      </c>
      <c r="G10" s="38" t="s">
        <v>285</v>
      </c>
      <c r="H10" s="38" t="s">
        <v>286</v>
      </c>
      <c r="I10" s="38" t="s">
        <v>305</v>
      </c>
      <c r="J10" s="38" t="s">
        <v>306</v>
      </c>
      <c r="K10" s="38" t="s">
        <v>289</v>
      </c>
      <c r="L10" s="38" t="s">
        <v>278</v>
      </c>
      <c r="M10" s="33">
        <f t="shared" si="1"/>
        <v>0.55</v>
      </c>
      <c r="N10" s="38" t="s">
        <v>279</v>
      </c>
      <c r="O10" s="35">
        <f t="shared" si="2"/>
        <v>0.77</v>
      </c>
      <c r="P10" s="38" t="s">
        <v>297</v>
      </c>
      <c r="Q10" s="35">
        <f t="shared" si="3"/>
        <v>0.27</v>
      </c>
      <c r="R10" s="38" t="s">
        <v>280</v>
      </c>
      <c r="S10" s="35">
        <f t="shared" si="4"/>
        <v>0.85</v>
      </c>
      <c r="T10" s="35">
        <f t="shared" si="5"/>
        <v>0.798928515</v>
      </c>
      <c r="U10" s="35" t="str">
        <f t="shared" si="6"/>
        <v>很低</v>
      </c>
      <c r="V10" s="38" t="s">
        <v>281</v>
      </c>
      <c r="W10" s="35" t="str">
        <f t="shared" si="7"/>
        <v>轻度和中度伤害</v>
      </c>
      <c r="X10" s="35">
        <f t="shared" si="8"/>
        <v>10</v>
      </c>
      <c r="Y10" s="38" t="s">
        <v>281</v>
      </c>
      <c r="Z10" s="36" t="str">
        <f t="shared" si="9"/>
        <v>经济损失会带来不便的后果，受影响的利益相关者将能够用有限的资源来克服这些后果</v>
      </c>
      <c r="AA10" s="35" t="str">
        <f t="shared" si="10"/>
        <v>10</v>
      </c>
      <c r="AB10" s="38" t="s">
        <v>282</v>
      </c>
      <c r="AC10" s="36" t="str">
        <f t="shared" si="11"/>
        <v>操作损坏导致车辆功能丧失</v>
      </c>
      <c r="AD10" s="35">
        <f t="shared" si="12"/>
        <v>10</v>
      </c>
      <c r="AE10" s="38" t="s">
        <v>283</v>
      </c>
      <c r="AF10" s="36" t="str">
        <f t="shared" si="13"/>
        <v>隐私危害不会产生任何影响,也不会给道路使用者带来不便</v>
      </c>
      <c r="AG10" s="35">
        <f t="shared" si="14"/>
        <v>0</v>
      </c>
      <c r="AH10" s="35">
        <f t="shared" si="15"/>
        <v>30</v>
      </c>
      <c r="AI10" s="35" t="str">
        <f t="shared" si="16"/>
        <v>中等的</v>
      </c>
      <c r="AJ10" s="35" t="str">
        <f t="shared" si="17"/>
        <v>Low</v>
      </c>
      <c r="AK10" s="35" t="str">
        <f t="shared" si="18"/>
        <v>保留风险</v>
      </c>
      <c r="AL10" s="35" t="str">
        <f t="shared" si="19"/>
        <v>/</v>
      </c>
      <c r="AM10" s="39"/>
      <c r="AN10" s="35" t="str">
        <f t="shared" si="20"/>
        <v>M13</v>
      </c>
    </row>
    <row r="11" ht="15.75" customHeight="1">
      <c r="A11" s="33" t="s">
        <v>307</v>
      </c>
      <c r="B11" s="33" t="s">
        <v>270</v>
      </c>
      <c r="C11" s="33" t="s">
        <v>271</v>
      </c>
      <c r="D11" s="33" t="s">
        <v>272</v>
      </c>
      <c r="E11" s="33" t="s">
        <v>308</v>
      </c>
      <c r="F11" s="33" t="s">
        <v>127</v>
      </c>
      <c r="G11" s="33" t="s">
        <v>309</v>
      </c>
      <c r="H11" s="33" t="s">
        <v>310</v>
      </c>
      <c r="I11" s="33" t="s">
        <v>311</v>
      </c>
      <c r="J11" s="33" t="s">
        <v>312</v>
      </c>
      <c r="K11" s="33" t="s">
        <v>313</v>
      </c>
      <c r="L11" s="33" t="s">
        <v>278</v>
      </c>
      <c r="M11" s="33">
        <f t="shared" si="1"/>
        <v>0.55</v>
      </c>
      <c r="N11" s="33" t="s">
        <v>279</v>
      </c>
      <c r="O11" s="35">
        <f t="shared" si="2"/>
        <v>0.77</v>
      </c>
      <c r="P11" s="33" t="s">
        <v>279</v>
      </c>
      <c r="Q11" s="35">
        <f t="shared" si="3"/>
        <v>0.62</v>
      </c>
      <c r="R11" s="33" t="s">
        <v>280</v>
      </c>
      <c r="S11" s="35">
        <f t="shared" si="4"/>
        <v>0.85</v>
      </c>
      <c r="T11" s="35">
        <f t="shared" si="5"/>
        <v>1.83457659</v>
      </c>
      <c r="U11" s="35" t="str">
        <f t="shared" si="6"/>
        <v>低</v>
      </c>
      <c r="V11" s="33" t="s">
        <v>281</v>
      </c>
      <c r="W11" s="35" t="str">
        <f t="shared" si="7"/>
        <v>轻度和中度伤害</v>
      </c>
      <c r="X11" s="35">
        <f t="shared" si="8"/>
        <v>10</v>
      </c>
      <c r="Y11" s="33" t="s">
        <v>281</v>
      </c>
      <c r="Z11" s="36" t="str">
        <f t="shared" si="9"/>
        <v>经济损失会带来不便的后果，受影响的利益相关者将能够用有限的资源来克服这些后果</v>
      </c>
      <c r="AA11" s="35" t="str">
        <f t="shared" si="10"/>
        <v>10</v>
      </c>
      <c r="AB11" s="33" t="s">
        <v>282</v>
      </c>
      <c r="AC11" s="36" t="str">
        <f t="shared" si="11"/>
        <v>操作损坏导致车辆功能丧失</v>
      </c>
      <c r="AD11" s="35">
        <f t="shared" si="12"/>
        <v>10</v>
      </c>
      <c r="AE11" s="33" t="s">
        <v>283</v>
      </c>
      <c r="AF11" s="36" t="str">
        <f t="shared" si="13"/>
        <v>隐私危害不会产生任何影响,也不会给道路使用者带来不便</v>
      </c>
      <c r="AG11" s="35">
        <f t="shared" si="14"/>
        <v>0</v>
      </c>
      <c r="AH11" s="35">
        <f t="shared" si="15"/>
        <v>30</v>
      </c>
      <c r="AI11" s="35" t="str">
        <f t="shared" si="16"/>
        <v>中等的</v>
      </c>
      <c r="AJ11" s="35" t="str">
        <f t="shared" si="17"/>
        <v>Medium</v>
      </c>
      <c r="AK11" s="35" t="str">
        <f t="shared" si="18"/>
        <v>降低风险</v>
      </c>
      <c r="AL11" s="35" t="str">
        <f t="shared" si="19"/>
        <v>应保护OBD接口的"Elevation of Privilege
权限提升"</v>
      </c>
      <c r="AM11" s="33" t="s">
        <v>314</v>
      </c>
      <c r="AN11" s="35" t="str">
        <f t="shared" si="20"/>
        <v>M8
M9</v>
      </c>
    </row>
    <row r="12" ht="15.75" customHeight="1">
      <c r="A12" s="33" t="s">
        <v>129</v>
      </c>
      <c r="B12" s="33" t="s">
        <v>270</v>
      </c>
      <c r="C12" s="33" t="s">
        <v>271</v>
      </c>
      <c r="D12" s="33" t="s">
        <v>272</v>
      </c>
      <c r="E12" s="33" t="s">
        <v>130</v>
      </c>
      <c r="F12" s="33" t="s">
        <v>127</v>
      </c>
      <c r="G12" s="33" t="s">
        <v>273</v>
      </c>
      <c r="H12" s="33" t="s">
        <v>274</v>
      </c>
      <c r="I12" s="33" t="s">
        <v>315</v>
      </c>
      <c r="J12" s="33" t="s">
        <v>316</v>
      </c>
      <c r="K12" s="33" t="s">
        <v>317</v>
      </c>
      <c r="L12" s="33" t="s">
        <v>318</v>
      </c>
      <c r="M12" s="33">
        <f t="shared" si="1"/>
        <v>0.2</v>
      </c>
      <c r="N12" s="33" t="s">
        <v>279</v>
      </c>
      <c r="O12" s="35">
        <f t="shared" si="2"/>
        <v>0.77</v>
      </c>
      <c r="P12" s="33" t="s">
        <v>319</v>
      </c>
      <c r="Q12" s="35">
        <f t="shared" si="3"/>
        <v>0.85</v>
      </c>
      <c r="R12" s="33" t="s">
        <v>280</v>
      </c>
      <c r="S12" s="35">
        <f t="shared" si="4"/>
        <v>0.85</v>
      </c>
      <c r="T12" s="35">
        <f t="shared" si="5"/>
        <v>0.9145983</v>
      </c>
      <c r="U12" s="35" t="str">
        <f t="shared" si="6"/>
        <v>很低</v>
      </c>
      <c r="V12" s="33" t="s">
        <v>283</v>
      </c>
      <c r="W12" s="35" t="str">
        <f t="shared" si="7"/>
        <v>没有受伤</v>
      </c>
      <c r="X12" s="35">
        <f t="shared" si="8"/>
        <v>0</v>
      </c>
      <c r="Y12" s="33" t="s">
        <v>283</v>
      </c>
      <c r="Z12" s="36" t="str">
        <f t="shared" si="9"/>
        <v>财务损失不会产生任何影响，可忽略给后果或与利益相关者无关</v>
      </c>
      <c r="AA12" s="35">
        <f t="shared" si="10"/>
        <v>0</v>
      </c>
      <c r="AB12" s="33" t="s">
        <v>281</v>
      </c>
      <c r="AC12" s="36" t="str">
        <f t="shared" si="11"/>
        <v>操作损坏会导致车辆功能或性能的部分下降</v>
      </c>
      <c r="AD12" s="35">
        <f t="shared" si="12"/>
        <v>1</v>
      </c>
      <c r="AE12" s="33" t="s">
        <v>283</v>
      </c>
      <c r="AF12" s="36" t="str">
        <f t="shared" si="13"/>
        <v>隐私危害不会产生任何影响,也不会给道路使用者带来不便</v>
      </c>
      <c r="AG12" s="35">
        <f t="shared" si="14"/>
        <v>0</v>
      </c>
      <c r="AH12" s="35">
        <f t="shared" si="15"/>
        <v>1</v>
      </c>
      <c r="AI12" s="35" t="str">
        <f t="shared" si="16"/>
        <v>无影响</v>
      </c>
      <c r="AJ12" s="35" t="str">
        <f t="shared" si="17"/>
        <v>QM</v>
      </c>
      <c r="AK12" s="35" t="str">
        <f t="shared" si="18"/>
        <v>保留风险</v>
      </c>
      <c r="AL12" s="35" t="str">
        <f t="shared" si="19"/>
        <v>/</v>
      </c>
      <c r="AM12" s="35"/>
      <c r="AN12" s="35" t="str">
        <f t="shared" si="20"/>
        <v>M10
M11</v>
      </c>
    </row>
    <row r="13" ht="15.75" customHeight="1">
      <c r="A13" s="33" t="s">
        <v>131</v>
      </c>
      <c r="B13" s="33" t="s">
        <v>270</v>
      </c>
      <c r="C13" s="33" t="s">
        <v>271</v>
      </c>
      <c r="D13" s="33" t="s">
        <v>272</v>
      </c>
      <c r="E13" s="33" t="s">
        <v>135</v>
      </c>
      <c r="F13" s="33" t="s">
        <v>127</v>
      </c>
      <c r="G13" s="33" t="s">
        <v>309</v>
      </c>
      <c r="H13" s="33" t="s">
        <v>310</v>
      </c>
      <c r="I13" s="33" t="s">
        <v>320</v>
      </c>
      <c r="J13" s="33" t="s">
        <v>321</v>
      </c>
      <c r="K13" s="33" t="s">
        <v>313</v>
      </c>
      <c r="L13" s="33" t="s">
        <v>278</v>
      </c>
      <c r="M13" s="33">
        <f t="shared" si="1"/>
        <v>0.55</v>
      </c>
      <c r="N13" s="33" t="s">
        <v>279</v>
      </c>
      <c r="O13" s="35">
        <f t="shared" si="2"/>
        <v>0.77</v>
      </c>
      <c r="P13" s="33" t="s">
        <v>279</v>
      </c>
      <c r="Q13" s="35">
        <f t="shared" si="3"/>
        <v>0.62</v>
      </c>
      <c r="R13" s="33" t="s">
        <v>280</v>
      </c>
      <c r="S13" s="35">
        <f t="shared" si="4"/>
        <v>0.85</v>
      </c>
      <c r="T13" s="35">
        <f t="shared" si="5"/>
        <v>1.83457659</v>
      </c>
      <c r="U13" s="35" t="str">
        <f t="shared" si="6"/>
        <v>低</v>
      </c>
      <c r="V13" s="33" t="s">
        <v>281</v>
      </c>
      <c r="W13" s="35" t="str">
        <f t="shared" si="7"/>
        <v>轻度和中度伤害</v>
      </c>
      <c r="X13" s="35">
        <f t="shared" si="8"/>
        <v>10</v>
      </c>
      <c r="Y13" s="33" t="s">
        <v>281</v>
      </c>
      <c r="Z13" s="36" t="str">
        <f t="shared" si="9"/>
        <v>经济损失会带来不便的后果，受影响的利益相关者将能够用有限的资源来克服这些后果</v>
      </c>
      <c r="AA13" s="35" t="str">
        <f t="shared" si="10"/>
        <v>10</v>
      </c>
      <c r="AB13" s="33" t="s">
        <v>281</v>
      </c>
      <c r="AC13" s="36" t="str">
        <f t="shared" si="11"/>
        <v>操作损坏会导致车辆功能或性能的部分下降</v>
      </c>
      <c r="AD13" s="35">
        <f t="shared" si="12"/>
        <v>1</v>
      </c>
      <c r="AE13" s="33" t="s">
        <v>283</v>
      </c>
      <c r="AF13" s="36" t="str">
        <f t="shared" si="13"/>
        <v>隐私危害不会产生任何影响,也不会给道路使用者带来不便</v>
      </c>
      <c r="AG13" s="35">
        <f t="shared" si="14"/>
        <v>0</v>
      </c>
      <c r="AH13" s="35">
        <f t="shared" si="15"/>
        <v>21</v>
      </c>
      <c r="AI13" s="35" t="str">
        <f t="shared" si="16"/>
        <v>中等的</v>
      </c>
      <c r="AJ13" s="35" t="str">
        <f t="shared" si="17"/>
        <v>Medium</v>
      </c>
      <c r="AK13" s="35" t="str">
        <f t="shared" si="18"/>
        <v>降低风险</v>
      </c>
      <c r="AL13" s="35" t="str">
        <f t="shared" si="19"/>
        <v>应保护UART接口的"Elevation of Privilege
权限提升"</v>
      </c>
      <c r="AM13" s="35"/>
      <c r="AN13" s="35" t="str">
        <f t="shared" si="20"/>
        <v>M8
M9</v>
      </c>
    </row>
    <row r="14" ht="15.75" customHeight="1">
      <c r="A14" s="33" t="s">
        <v>134</v>
      </c>
      <c r="B14" s="33" t="s">
        <v>270</v>
      </c>
      <c r="C14" s="33" t="s">
        <v>271</v>
      </c>
      <c r="D14" s="33" t="s">
        <v>272</v>
      </c>
      <c r="E14" s="33" t="s">
        <v>322</v>
      </c>
      <c r="F14" s="33" t="s">
        <v>127</v>
      </c>
      <c r="G14" s="33" t="s">
        <v>323</v>
      </c>
      <c r="H14" s="33" t="s">
        <v>310</v>
      </c>
      <c r="I14" s="33" t="s">
        <v>324</v>
      </c>
      <c r="J14" s="33" t="s">
        <v>325</v>
      </c>
      <c r="K14" s="33" t="s">
        <v>313</v>
      </c>
      <c r="L14" s="33" t="s">
        <v>278</v>
      </c>
      <c r="M14" s="33">
        <f t="shared" si="1"/>
        <v>0.55</v>
      </c>
      <c r="N14" s="33" t="s">
        <v>279</v>
      </c>
      <c r="O14" s="35">
        <f t="shared" si="2"/>
        <v>0.77</v>
      </c>
      <c r="P14" s="33" t="s">
        <v>279</v>
      </c>
      <c r="Q14" s="35">
        <f t="shared" si="3"/>
        <v>0.62</v>
      </c>
      <c r="R14" s="33" t="s">
        <v>280</v>
      </c>
      <c r="S14" s="35">
        <f t="shared" si="4"/>
        <v>0.85</v>
      </c>
      <c r="T14" s="35">
        <f t="shared" si="5"/>
        <v>1.83457659</v>
      </c>
      <c r="U14" s="35" t="str">
        <f t="shared" si="6"/>
        <v>低</v>
      </c>
      <c r="V14" s="33" t="s">
        <v>326</v>
      </c>
      <c r="W14" s="35" t="str">
        <f t="shared" si="7"/>
        <v>威胁生命的伤害（尚不确定生存），致命伤害</v>
      </c>
      <c r="X14" s="35">
        <f t="shared" si="8"/>
        <v>1000</v>
      </c>
      <c r="Y14" s="33" t="s">
        <v>281</v>
      </c>
      <c r="Z14" s="36" t="str">
        <f t="shared" si="9"/>
        <v>经济损失会带来不便的后果，受影响的利益相关者将能够用有限的资源来克服这些后果</v>
      </c>
      <c r="AA14" s="35" t="str">
        <f t="shared" si="10"/>
        <v>10</v>
      </c>
      <c r="AB14" s="33" t="s">
        <v>281</v>
      </c>
      <c r="AC14" s="36" t="str">
        <f t="shared" si="11"/>
        <v>操作损坏会导致车辆功能或性能的部分下降</v>
      </c>
      <c r="AD14" s="35">
        <f t="shared" si="12"/>
        <v>1</v>
      </c>
      <c r="AE14" s="33" t="s">
        <v>283</v>
      </c>
      <c r="AF14" s="36" t="str">
        <f t="shared" si="13"/>
        <v>隐私危害不会产生任何影响,也不会给道路使用者带来不便</v>
      </c>
      <c r="AG14" s="35">
        <f t="shared" si="14"/>
        <v>0</v>
      </c>
      <c r="AH14" s="35">
        <f t="shared" si="15"/>
        <v>1011</v>
      </c>
      <c r="AI14" s="35" t="str">
        <f t="shared" si="16"/>
        <v>严重的</v>
      </c>
      <c r="AJ14" s="35" t="str">
        <f t="shared" si="17"/>
        <v>High</v>
      </c>
      <c r="AK14" s="35" t="str">
        <f t="shared" si="18"/>
        <v>降低风险</v>
      </c>
      <c r="AL14" s="35" t="str">
        <f t="shared" si="19"/>
        <v>应保护CAN/CANFD接口的"Elevation of Privilege
权限提升"</v>
      </c>
      <c r="AM14" s="35"/>
      <c r="AN14" s="35" t="str">
        <f t="shared" si="20"/>
        <v>M8
M9</v>
      </c>
    </row>
    <row r="15" ht="15.75" customHeight="1">
      <c r="A15" s="33" t="s">
        <v>137</v>
      </c>
      <c r="B15" s="33" t="s">
        <v>270</v>
      </c>
      <c r="C15" s="33" t="s">
        <v>327</v>
      </c>
      <c r="D15" s="33" t="s">
        <v>328</v>
      </c>
      <c r="E15" s="33" t="s">
        <v>138</v>
      </c>
      <c r="F15" s="33" t="s">
        <v>139</v>
      </c>
      <c r="G15" s="33" t="s">
        <v>273</v>
      </c>
      <c r="H15" s="33" t="s">
        <v>274</v>
      </c>
      <c r="I15" s="33" t="s">
        <v>329</v>
      </c>
      <c r="J15" s="33" t="s">
        <v>330</v>
      </c>
      <c r="K15" s="33" t="s">
        <v>331</v>
      </c>
      <c r="L15" s="33" t="s">
        <v>278</v>
      </c>
      <c r="M15" s="33">
        <f t="shared" si="1"/>
        <v>0.55</v>
      </c>
      <c r="N15" s="33" t="s">
        <v>279</v>
      </c>
      <c r="O15" s="35">
        <f t="shared" si="2"/>
        <v>0.77</v>
      </c>
      <c r="P15" s="33" t="s">
        <v>279</v>
      </c>
      <c r="Q15" s="35">
        <f t="shared" si="3"/>
        <v>0.62</v>
      </c>
      <c r="R15" s="33" t="s">
        <v>280</v>
      </c>
      <c r="S15" s="35">
        <f t="shared" si="4"/>
        <v>0.85</v>
      </c>
      <c r="T15" s="35">
        <f t="shared" si="5"/>
        <v>1.83457659</v>
      </c>
      <c r="U15" s="35" t="str">
        <f t="shared" si="6"/>
        <v>低</v>
      </c>
      <c r="V15" s="33" t="s">
        <v>281</v>
      </c>
      <c r="W15" s="35" t="str">
        <f t="shared" si="7"/>
        <v>轻度和中度伤害</v>
      </c>
      <c r="X15" s="35">
        <f t="shared" si="8"/>
        <v>10</v>
      </c>
      <c r="Y15" s="33" t="s">
        <v>281</v>
      </c>
      <c r="Z15" s="36" t="str">
        <f t="shared" si="9"/>
        <v>经济损失会带来不便的后果，受影响的利益相关者将能够用有限的资源来克服这些后果</v>
      </c>
      <c r="AA15" s="35" t="str">
        <f t="shared" si="10"/>
        <v>10</v>
      </c>
      <c r="AB15" s="33" t="s">
        <v>281</v>
      </c>
      <c r="AC15" s="36" t="str">
        <f t="shared" si="11"/>
        <v>操作损坏会导致车辆功能或性能的部分下降</v>
      </c>
      <c r="AD15" s="35">
        <f t="shared" si="12"/>
        <v>1</v>
      </c>
      <c r="AE15" s="33" t="s">
        <v>283</v>
      </c>
      <c r="AF15" s="36" t="str">
        <f t="shared" si="13"/>
        <v>隐私危害不会产生任何影响,也不会给道路使用者带来不便</v>
      </c>
      <c r="AG15" s="35">
        <f t="shared" si="14"/>
        <v>0</v>
      </c>
      <c r="AH15" s="35">
        <f t="shared" si="15"/>
        <v>21</v>
      </c>
      <c r="AI15" s="35" t="str">
        <f t="shared" si="16"/>
        <v>中等的</v>
      </c>
      <c r="AJ15" s="35" t="str">
        <f t="shared" si="17"/>
        <v>Medium</v>
      </c>
      <c r="AK15" s="35" t="str">
        <f t="shared" si="18"/>
        <v>降低风险</v>
      </c>
      <c r="AL15" s="35" t="str">
        <f t="shared" si="19"/>
        <v>应保护OTA升级包的"Authenticity
真实性"</v>
      </c>
      <c r="AM15" s="35"/>
      <c r="AN15" s="35" t="str">
        <f t="shared" si="20"/>
        <v>M10
M11</v>
      </c>
    </row>
    <row r="16" ht="15.75" customHeight="1">
      <c r="E16" s="33" t="s">
        <v>138</v>
      </c>
      <c r="F16" s="33" t="s">
        <v>139</v>
      </c>
      <c r="G16" s="33" t="s">
        <v>298</v>
      </c>
      <c r="H16" s="33" t="s">
        <v>299</v>
      </c>
      <c r="I16" s="33" t="s">
        <v>332</v>
      </c>
      <c r="J16" s="33" t="s">
        <v>333</v>
      </c>
      <c r="K16" s="33" t="s">
        <v>334</v>
      </c>
      <c r="L16" s="33" t="s">
        <v>278</v>
      </c>
      <c r="M16" s="33">
        <f t="shared" si="1"/>
        <v>0.55</v>
      </c>
      <c r="N16" s="33" t="s">
        <v>279</v>
      </c>
      <c r="O16" s="35">
        <f t="shared" si="2"/>
        <v>0.77</v>
      </c>
      <c r="P16" s="33" t="s">
        <v>279</v>
      </c>
      <c r="Q16" s="35">
        <f t="shared" si="3"/>
        <v>0.62</v>
      </c>
      <c r="R16" s="33" t="s">
        <v>280</v>
      </c>
      <c r="S16" s="35">
        <f t="shared" si="4"/>
        <v>0.85</v>
      </c>
      <c r="T16" s="35">
        <f t="shared" si="5"/>
        <v>1.83457659</v>
      </c>
      <c r="U16" s="35" t="str">
        <f t="shared" si="6"/>
        <v>低</v>
      </c>
      <c r="V16" s="33" t="s">
        <v>281</v>
      </c>
      <c r="W16" s="35" t="str">
        <f t="shared" si="7"/>
        <v>轻度和中度伤害</v>
      </c>
      <c r="X16" s="35">
        <f t="shared" si="8"/>
        <v>10</v>
      </c>
      <c r="Y16" s="33" t="s">
        <v>281</v>
      </c>
      <c r="Z16" s="36" t="str">
        <f t="shared" si="9"/>
        <v>经济损失会带来不便的后果，受影响的利益相关者将能够用有限的资源来克服这些后果</v>
      </c>
      <c r="AA16" s="35" t="str">
        <f t="shared" si="10"/>
        <v>10</v>
      </c>
      <c r="AB16" s="33" t="s">
        <v>282</v>
      </c>
      <c r="AC16" s="36" t="str">
        <f t="shared" si="11"/>
        <v>操作损坏导致车辆功能丧失</v>
      </c>
      <c r="AD16" s="35">
        <f t="shared" si="12"/>
        <v>10</v>
      </c>
      <c r="AE16" s="33" t="s">
        <v>283</v>
      </c>
      <c r="AF16" s="36" t="str">
        <f t="shared" si="13"/>
        <v>隐私危害不会产生任何影响,也不会给道路使用者带来不便</v>
      </c>
      <c r="AG16" s="35">
        <f t="shared" si="14"/>
        <v>0</v>
      </c>
      <c r="AH16" s="35">
        <f t="shared" si="15"/>
        <v>30</v>
      </c>
      <c r="AI16" s="35" t="str">
        <f t="shared" si="16"/>
        <v>中等的</v>
      </c>
      <c r="AJ16" s="35" t="str">
        <f t="shared" si="17"/>
        <v>Medium</v>
      </c>
      <c r="AK16" s="35" t="str">
        <f t="shared" si="18"/>
        <v>降低风险</v>
      </c>
      <c r="AL16" s="35" t="str">
        <f t="shared" si="19"/>
        <v>应保护OTA升级包的"Integrity
完整性"</v>
      </c>
      <c r="AM16" s="35"/>
      <c r="AN16" s="35" t="str">
        <f t="shared" si="20"/>
        <v>M10</v>
      </c>
    </row>
    <row r="17" ht="15.75" customHeight="1">
      <c r="E17" s="33" t="s">
        <v>138</v>
      </c>
      <c r="F17" s="33" t="s">
        <v>139</v>
      </c>
      <c r="G17" s="33" t="s">
        <v>335</v>
      </c>
      <c r="H17" s="33" t="s">
        <v>336</v>
      </c>
      <c r="I17" s="33" t="s">
        <v>337</v>
      </c>
      <c r="J17" s="33" t="s">
        <v>338</v>
      </c>
      <c r="K17" s="33" t="s">
        <v>339</v>
      </c>
      <c r="L17" s="33" t="s">
        <v>278</v>
      </c>
      <c r="M17" s="33">
        <f t="shared" si="1"/>
        <v>0.55</v>
      </c>
      <c r="N17" s="33" t="s">
        <v>279</v>
      </c>
      <c r="O17" s="35">
        <f t="shared" si="2"/>
        <v>0.77</v>
      </c>
      <c r="P17" s="33" t="s">
        <v>279</v>
      </c>
      <c r="Q17" s="35">
        <f t="shared" si="3"/>
        <v>0.62</v>
      </c>
      <c r="R17" s="33" t="s">
        <v>280</v>
      </c>
      <c r="S17" s="35">
        <f t="shared" si="4"/>
        <v>0.85</v>
      </c>
      <c r="T17" s="35">
        <f t="shared" si="5"/>
        <v>1.83457659</v>
      </c>
      <c r="U17" s="35" t="str">
        <f t="shared" si="6"/>
        <v>低</v>
      </c>
      <c r="V17" s="33" t="s">
        <v>283</v>
      </c>
      <c r="W17" s="35" t="str">
        <f t="shared" si="7"/>
        <v>没有受伤</v>
      </c>
      <c r="X17" s="35">
        <f t="shared" si="8"/>
        <v>0</v>
      </c>
      <c r="Y17" s="33" t="s">
        <v>282</v>
      </c>
      <c r="Z17" s="36" t="str">
        <f t="shared" si="9"/>
        <v>经济损失导致重大后果，受影响的利益相关者将能够克服</v>
      </c>
      <c r="AA17" s="35">
        <f t="shared" si="10"/>
        <v>100</v>
      </c>
      <c r="AB17" s="33" t="s">
        <v>283</v>
      </c>
      <c r="AC17" s="36" t="str">
        <f t="shared" si="11"/>
        <v>操作损坏不会导致车辆功能或性能下降，也不会导致性能下降</v>
      </c>
      <c r="AD17" s="35">
        <f t="shared" si="12"/>
        <v>0</v>
      </c>
      <c r="AE17" s="33" t="s">
        <v>282</v>
      </c>
      <c r="AF17" s="36" t="str">
        <f t="shared" si="13"/>
        <v>隐私危害会严重影响道路使用者</v>
      </c>
      <c r="AG17" s="35">
        <f t="shared" si="14"/>
        <v>10</v>
      </c>
      <c r="AH17" s="35">
        <f t="shared" si="15"/>
        <v>110</v>
      </c>
      <c r="AI17" s="35" t="str">
        <f t="shared" si="16"/>
        <v>重大的</v>
      </c>
      <c r="AJ17" s="35" t="str">
        <f t="shared" si="17"/>
        <v>Medium</v>
      </c>
      <c r="AK17" s="35" t="str">
        <f t="shared" si="18"/>
        <v>降低风险</v>
      </c>
      <c r="AL17" s="35" t="str">
        <f t="shared" si="19"/>
        <v>应保护OTA升级包的"Confidentiality
机密性"</v>
      </c>
      <c r="AM17" s="35"/>
      <c r="AN17" s="35" t="str">
        <f t="shared" si="20"/>
        <v>M12
M24</v>
      </c>
    </row>
    <row r="18" ht="15.75" customHeight="1">
      <c r="E18" s="33" t="s">
        <v>138</v>
      </c>
      <c r="F18" s="33" t="s">
        <v>139</v>
      </c>
      <c r="G18" s="33" t="s">
        <v>309</v>
      </c>
      <c r="H18" s="33" t="s">
        <v>310</v>
      </c>
      <c r="I18" s="33" t="s">
        <v>340</v>
      </c>
      <c r="J18" s="33" t="s">
        <v>341</v>
      </c>
      <c r="K18" s="33" t="s">
        <v>342</v>
      </c>
      <c r="L18" s="33" t="s">
        <v>278</v>
      </c>
      <c r="M18" s="33">
        <f t="shared" si="1"/>
        <v>0.55</v>
      </c>
      <c r="N18" s="33" t="s">
        <v>279</v>
      </c>
      <c r="O18" s="35">
        <f t="shared" si="2"/>
        <v>0.77</v>
      </c>
      <c r="P18" s="33" t="s">
        <v>279</v>
      </c>
      <c r="Q18" s="35">
        <f t="shared" si="3"/>
        <v>0.62</v>
      </c>
      <c r="R18" s="33" t="s">
        <v>280</v>
      </c>
      <c r="S18" s="35">
        <f t="shared" si="4"/>
        <v>0.85</v>
      </c>
      <c r="T18" s="35">
        <f t="shared" si="5"/>
        <v>1.83457659</v>
      </c>
      <c r="U18" s="35" t="str">
        <f t="shared" si="6"/>
        <v>低</v>
      </c>
      <c r="V18" s="33" t="s">
        <v>281</v>
      </c>
      <c r="W18" s="35" t="str">
        <f t="shared" si="7"/>
        <v>轻度和中度伤害</v>
      </c>
      <c r="X18" s="35">
        <f t="shared" si="8"/>
        <v>10</v>
      </c>
      <c r="Y18" s="33" t="s">
        <v>281</v>
      </c>
      <c r="Z18" s="36" t="str">
        <f t="shared" si="9"/>
        <v>经济损失会带来不便的后果，受影响的利益相关者将能够用有限的资源来克服这些后果</v>
      </c>
      <c r="AA18" s="35" t="str">
        <f t="shared" si="10"/>
        <v>10</v>
      </c>
      <c r="AB18" s="33" t="s">
        <v>282</v>
      </c>
      <c r="AC18" s="36" t="str">
        <f t="shared" si="11"/>
        <v>操作损坏导致车辆功能丧失</v>
      </c>
      <c r="AD18" s="35">
        <f t="shared" si="12"/>
        <v>10</v>
      </c>
      <c r="AE18" s="33" t="s">
        <v>283</v>
      </c>
      <c r="AF18" s="36" t="str">
        <f t="shared" si="13"/>
        <v>隐私危害不会产生任何影响,也不会给道路使用者带来不便</v>
      </c>
      <c r="AG18" s="35">
        <f t="shared" si="14"/>
        <v>0</v>
      </c>
      <c r="AH18" s="35">
        <f t="shared" si="15"/>
        <v>30</v>
      </c>
      <c r="AI18" s="35" t="str">
        <f t="shared" si="16"/>
        <v>中等的</v>
      </c>
      <c r="AJ18" s="35" t="str">
        <f t="shared" si="17"/>
        <v>Medium</v>
      </c>
      <c r="AK18" s="35" t="str">
        <f t="shared" si="18"/>
        <v>降低风险</v>
      </c>
      <c r="AL18" s="35" t="str">
        <f t="shared" si="19"/>
        <v>应保护OTA升级包的"Elevation of Privilege
权限提升"</v>
      </c>
      <c r="AM18" s="35"/>
      <c r="AN18" s="35" t="str">
        <f t="shared" si="20"/>
        <v>M8
M9</v>
      </c>
    </row>
    <row r="19" ht="15.75" customHeight="1">
      <c r="A19" s="33" t="s">
        <v>141</v>
      </c>
      <c r="B19" s="33" t="s">
        <v>270</v>
      </c>
      <c r="C19" s="33" t="s">
        <v>343</v>
      </c>
      <c r="D19" s="33" t="s">
        <v>344</v>
      </c>
      <c r="E19" s="33" t="s">
        <v>345</v>
      </c>
      <c r="F19" s="33" t="s">
        <v>143</v>
      </c>
      <c r="G19" s="33" t="s">
        <v>293</v>
      </c>
      <c r="H19" s="33" t="s">
        <v>274</v>
      </c>
      <c r="I19" s="33" t="s">
        <v>346</v>
      </c>
      <c r="J19" s="33" t="s">
        <v>347</v>
      </c>
      <c r="K19" s="33" t="s">
        <v>289</v>
      </c>
      <c r="L19" s="33" t="s">
        <v>348</v>
      </c>
      <c r="M19" s="33">
        <f t="shared" si="1"/>
        <v>0.62</v>
      </c>
      <c r="N19" s="33" t="s">
        <v>297</v>
      </c>
      <c r="O19" s="35">
        <f t="shared" si="2"/>
        <v>0.44</v>
      </c>
      <c r="P19" s="33" t="s">
        <v>279</v>
      </c>
      <c r="Q19" s="35">
        <f t="shared" si="3"/>
        <v>0.62</v>
      </c>
      <c r="R19" s="33" t="s">
        <v>303</v>
      </c>
      <c r="S19" s="35">
        <f t="shared" si="4"/>
        <v>0.62</v>
      </c>
      <c r="T19" s="35">
        <f t="shared" si="5"/>
        <v>0.8619847104</v>
      </c>
      <c r="U19" s="35" t="str">
        <f t="shared" si="6"/>
        <v>很低</v>
      </c>
      <c r="V19" s="33" t="s">
        <v>283</v>
      </c>
      <c r="W19" s="35" t="str">
        <f t="shared" si="7"/>
        <v>没有受伤</v>
      </c>
      <c r="X19" s="35">
        <f t="shared" si="8"/>
        <v>0</v>
      </c>
      <c r="Y19" s="33" t="s">
        <v>281</v>
      </c>
      <c r="Z19" s="36" t="str">
        <f t="shared" si="9"/>
        <v>经济损失会带来不便的后果，受影响的利益相关者将能够用有限的资源来克服这些后果</v>
      </c>
      <c r="AA19" s="35" t="str">
        <f t="shared" si="10"/>
        <v>10</v>
      </c>
      <c r="AB19" s="33" t="s">
        <v>281</v>
      </c>
      <c r="AC19" s="36" t="str">
        <f t="shared" si="11"/>
        <v>操作损坏会导致车辆功能或性能的部分下降</v>
      </c>
      <c r="AD19" s="35">
        <f t="shared" si="12"/>
        <v>1</v>
      </c>
      <c r="AE19" s="33" t="s">
        <v>283</v>
      </c>
      <c r="AF19" s="36" t="str">
        <f t="shared" si="13"/>
        <v>隐私危害不会产生任何影响,也不会给道路使用者带来不便</v>
      </c>
      <c r="AG19" s="35">
        <f t="shared" si="14"/>
        <v>0</v>
      </c>
      <c r="AH19" s="35">
        <f t="shared" si="15"/>
        <v>11</v>
      </c>
      <c r="AI19" s="35" t="str">
        <f t="shared" si="16"/>
        <v>微不足道</v>
      </c>
      <c r="AJ19" s="35" t="str">
        <f t="shared" si="17"/>
        <v>Low</v>
      </c>
      <c r="AK19" s="35" t="str">
        <f t="shared" si="18"/>
        <v>保留风险</v>
      </c>
      <c r="AL19" s="35" t="str">
        <f t="shared" si="19"/>
        <v>/</v>
      </c>
      <c r="AM19" s="35"/>
      <c r="AN19" s="35" t="str">
        <f t="shared" si="20"/>
        <v>M10
M11</v>
      </c>
    </row>
    <row r="20" ht="15.75" customHeight="1">
      <c r="E20" s="33" t="s">
        <v>345</v>
      </c>
      <c r="F20" s="33" t="s">
        <v>143</v>
      </c>
      <c r="G20" s="33" t="s">
        <v>349</v>
      </c>
      <c r="H20" s="33" t="s">
        <v>350</v>
      </c>
      <c r="I20" s="33" t="s">
        <v>351</v>
      </c>
      <c r="J20" s="33" t="s">
        <v>347</v>
      </c>
      <c r="K20" s="33" t="s">
        <v>296</v>
      </c>
      <c r="L20" s="33" t="s">
        <v>352</v>
      </c>
      <c r="M20" s="33">
        <f t="shared" si="1"/>
        <v>0.85</v>
      </c>
      <c r="N20" s="33" t="s">
        <v>279</v>
      </c>
      <c r="O20" s="35">
        <f t="shared" si="2"/>
        <v>0.77</v>
      </c>
      <c r="P20" s="33" t="s">
        <v>279</v>
      </c>
      <c r="Q20" s="35">
        <f t="shared" si="3"/>
        <v>0.62</v>
      </c>
      <c r="R20" s="33" t="s">
        <v>280</v>
      </c>
      <c r="S20" s="35">
        <f t="shared" si="4"/>
        <v>0.85</v>
      </c>
      <c r="T20" s="35">
        <f t="shared" si="5"/>
        <v>2.83525473</v>
      </c>
      <c r="U20" s="35" t="str">
        <f t="shared" si="6"/>
        <v>中</v>
      </c>
      <c r="V20" s="33" t="s">
        <v>283</v>
      </c>
      <c r="W20" s="35" t="str">
        <f t="shared" si="7"/>
        <v>没有受伤</v>
      </c>
      <c r="X20" s="35">
        <f t="shared" si="8"/>
        <v>0</v>
      </c>
      <c r="Y20" s="33" t="s">
        <v>281</v>
      </c>
      <c r="Z20" s="36" t="str">
        <f t="shared" si="9"/>
        <v>经济损失会带来不便的后果，受影响的利益相关者将能够用有限的资源来克服这些后果</v>
      </c>
      <c r="AA20" s="35" t="str">
        <f t="shared" si="10"/>
        <v>10</v>
      </c>
      <c r="AB20" s="33" t="s">
        <v>282</v>
      </c>
      <c r="AC20" s="36" t="str">
        <f t="shared" si="11"/>
        <v>操作损坏导致车辆功能丧失</v>
      </c>
      <c r="AD20" s="35">
        <f t="shared" si="12"/>
        <v>10</v>
      </c>
      <c r="AE20" s="33" t="s">
        <v>281</v>
      </c>
      <c r="AF20" s="36" t="str">
        <f t="shared" si="13"/>
        <v>隐私危害给道路使用者带来极大的不便</v>
      </c>
      <c r="AG20" s="35">
        <f t="shared" si="14"/>
        <v>1</v>
      </c>
      <c r="AH20" s="35">
        <f t="shared" si="15"/>
        <v>21</v>
      </c>
      <c r="AI20" s="35" t="str">
        <f t="shared" si="16"/>
        <v>中等的</v>
      </c>
      <c r="AJ20" s="35" t="str">
        <f t="shared" si="17"/>
        <v>Medium</v>
      </c>
      <c r="AK20" s="35" t="str">
        <f t="shared" si="18"/>
        <v>降低风险</v>
      </c>
      <c r="AL20" s="35" t="str">
        <f t="shared" si="19"/>
        <v>应保护BT模块控制指令的"Non-Repudiation
不可抵赖性"</v>
      </c>
      <c r="AM20" s="35"/>
      <c r="AN20" s="35" t="str">
        <f t="shared" si="20"/>
        <v>M9
M10</v>
      </c>
    </row>
    <row r="21" ht="15.75" customHeight="1">
      <c r="E21" s="33" t="s">
        <v>345</v>
      </c>
      <c r="F21" s="33" t="s">
        <v>143</v>
      </c>
      <c r="G21" s="33" t="s">
        <v>298</v>
      </c>
      <c r="H21" s="33" t="s">
        <v>299</v>
      </c>
      <c r="I21" s="33" t="s">
        <v>353</v>
      </c>
      <c r="J21" s="33" t="s">
        <v>347</v>
      </c>
      <c r="K21" s="33" t="s">
        <v>354</v>
      </c>
      <c r="L21" s="33" t="s">
        <v>348</v>
      </c>
      <c r="M21" s="33">
        <f t="shared" si="1"/>
        <v>0.62</v>
      </c>
      <c r="N21" s="33" t="s">
        <v>297</v>
      </c>
      <c r="O21" s="35">
        <f t="shared" si="2"/>
        <v>0.44</v>
      </c>
      <c r="P21" s="33" t="s">
        <v>279</v>
      </c>
      <c r="Q21" s="35">
        <f t="shared" si="3"/>
        <v>0.62</v>
      </c>
      <c r="R21" s="33" t="s">
        <v>280</v>
      </c>
      <c r="S21" s="35">
        <f t="shared" si="4"/>
        <v>0.85</v>
      </c>
      <c r="T21" s="35">
        <f t="shared" si="5"/>
        <v>1.181753232</v>
      </c>
      <c r="U21" s="35" t="str">
        <f t="shared" si="6"/>
        <v>低</v>
      </c>
      <c r="V21" s="33" t="s">
        <v>281</v>
      </c>
      <c r="W21" s="35" t="str">
        <f t="shared" si="7"/>
        <v>轻度和中度伤害</v>
      </c>
      <c r="X21" s="35">
        <f t="shared" si="8"/>
        <v>10</v>
      </c>
      <c r="Y21" s="33" t="s">
        <v>281</v>
      </c>
      <c r="Z21" s="36" t="str">
        <f t="shared" si="9"/>
        <v>经济损失会带来不便的后果，受影响的利益相关者将能够用有限的资源来克服这些后果</v>
      </c>
      <c r="AA21" s="35" t="str">
        <f t="shared" si="10"/>
        <v>10</v>
      </c>
      <c r="AB21" s="33" t="s">
        <v>282</v>
      </c>
      <c r="AC21" s="36" t="str">
        <f t="shared" si="11"/>
        <v>操作损坏导致车辆功能丧失</v>
      </c>
      <c r="AD21" s="35">
        <f t="shared" si="12"/>
        <v>10</v>
      </c>
      <c r="AE21" s="33" t="s">
        <v>283</v>
      </c>
      <c r="AF21" s="36" t="str">
        <f t="shared" si="13"/>
        <v>隐私危害不会产生任何影响,也不会给道路使用者带来不便</v>
      </c>
      <c r="AG21" s="35">
        <f t="shared" si="14"/>
        <v>0</v>
      </c>
      <c r="AH21" s="35">
        <f t="shared" si="15"/>
        <v>30</v>
      </c>
      <c r="AI21" s="35" t="str">
        <f t="shared" si="16"/>
        <v>中等的</v>
      </c>
      <c r="AJ21" s="35" t="str">
        <f t="shared" si="17"/>
        <v>Medium</v>
      </c>
      <c r="AK21" s="35" t="str">
        <f t="shared" si="18"/>
        <v>降低风险</v>
      </c>
      <c r="AL21" s="35" t="str">
        <f t="shared" si="19"/>
        <v>应保护BT模块控制指令的"Integrity
完整性"</v>
      </c>
      <c r="AM21" s="35"/>
      <c r="AN21" s="35" t="str">
        <f t="shared" si="20"/>
        <v>M10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sheetData>
  <mergeCells count="45">
    <mergeCell ref="AB4:AD4"/>
    <mergeCell ref="G3:K3"/>
    <mergeCell ref="L3:U3"/>
    <mergeCell ref="V3:AI3"/>
    <mergeCell ref="P4:Q4"/>
    <mergeCell ref="AL3:AN3"/>
    <mergeCell ref="A3:F3"/>
    <mergeCell ref="A1:AN1"/>
    <mergeCell ref="A4:A5"/>
    <mergeCell ref="A6:A7"/>
    <mergeCell ref="B6:B7"/>
    <mergeCell ref="F6:F7"/>
    <mergeCell ref="C4:E4"/>
    <mergeCell ref="C6:C7"/>
    <mergeCell ref="D6:D7"/>
    <mergeCell ref="A15:A18"/>
    <mergeCell ref="A19:A21"/>
    <mergeCell ref="B19:B21"/>
    <mergeCell ref="C19:C21"/>
    <mergeCell ref="D19:D21"/>
    <mergeCell ref="A8:A10"/>
    <mergeCell ref="B8:B10"/>
    <mergeCell ref="C8:C10"/>
    <mergeCell ref="D8:D10"/>
    <mergeCell ref="B15:B18"/>
    <mergeCell ref="C15:C18"/>
    <mergeCell ref="D15:D18"/>
    <mergeCell ref="B4:B5"/>
    <mergeCell ref="F4:F5"/>
    <mergeCell ref="G4:G5"/>
    <mergeCell ref="H4:H5"/>
    <mergeCell ref="I4:I5"/>
    <mergeCell ref="J4:J5"/>
    <mergeCell ref="N4:O4"/>
    <mergeCell ref="L4:M4"/>
    <mergeCell ref="Y4:AA4"/>
    <mergeCell ref="V4:X4"/>
    <mergeCell ref="T4:U4"/>
    <mergeCell ref="R4:S4"/>
    <mergeCell ref="AM4:AM5"/>
    <mergeCell ref="AL4:AL5"/>
    <mergeCell ref="AK4:AK5"/>
    <mergeCell ref="AJ4:AJ5"/>
    <mergeCell ref="AH4:AI4"/>
    <mergeCell ref="AE4:AG4"/>
  </mergeCells>
  <printOptions/>
  <pageMargins bottom="1.0" footer="0.0" header="0.0" left="0.75" right="0.75" top="1.0"/>
  <pageSetup orientation="landscape"/>
  <drawing r:id="rId1"/>
</worksheet>
</file>